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管理データ\3.購買部\外注管理\TÀI LIỆU CHUẨN ĐÁNH GIÁ QUẢN LÝ NCC GCN\"/>
    </mc:Choice>
  </mc:AlternateContent>
  <xr:revisionPtr revIDLastSave="0" documentId="13_ncr:1_{BAAF25ED-152C-420A-86EF-833B4BCBE13A}" xr6:coauthVersionLast="47" xr6:coauthVersionMax="47" xr10:uidLastSave="{00000000-0000-0000-0000-000000000000}"/>
  <bookViews>
    <workbookView xWindow="-108" yWindow="-108" windowWidth="23256" windowHeight="13896" tabRatio="823" xr2:uid="{00000000-000D-0000-FFFF-FFFF00000000}"/>
  </bookViews>
  <sheets>
    <sheet name="00_Muc_luc" sheetId="1" r:id="rId1"/>
    <sheet name="01_Danh_sach_NCC" sheetId="2" r:id="rId2"/>
    <sheet name="02_Danh_gia_NCC_moi" sheetId="3" r:id="rId3"/>
    <sheet name="03_Checksheet_CBSX" sheetId="4" r:id="rId4"/>
    <sheet name="04_So_theo_doi_van_de" sheetId="5" r:id="rId5"/>
    <sheet name="05_Danh_gia_dinh_ky" sheetId="6" r:id="rId6"/>
    <sheet name="05.01様式3-10-2 (JP VN)" sheetId="11" r:id="rId7"/>
    <sheet name="06_Ke_hoach_dao_tao" sheetId="8" r:id="rId9"/>
    <sheet name="06_01.Yêu cầu năng lực_スキル要件" sheetId="9" r:id="rId10"/>
    <sheet name="06_02.Phiếu đánh giá_評価シート" sheetId="10" r:id="rId11"/>
  </sheets>
  <externalReferences>
    <externalReference r:id="rId12"/>
    <externalReference r:id="rId13"/>
    <externalReference r:id="rId14"/>
    <externalReference r:id="rId15"/>
    <externalReference r:id="rId16"/>
  </externalReferences>
  <definedNames>
    <definedName name="___1__123Graph_Aｸﾞﾗﾌ_1" localSheetId="6" hidden="1">#REF!</definedName>
    <definedName name="___1__123Graph_Aｸﾞﾗﾌ_1" hidden="1">#REF!</definedName>
    <definedName name="___10__123Graph_Aｸﾞﾗﾌ_18" localSheetId="6" hidden="1">#REF!</definedName>
    <definedName name="___10__123Graph_Aｸﾞﾗﾌ_18" hidden="1">#REF!</definedName>
    <definedName name="___11__123Graph_Aｸﾞﾗﾌ_19" localSheetId="6" hidden="1">#REF!</definedName>
    <definedName name="___11__123Graph_Aｸﾞﾗﾌ_19" hidden="1">#REF!</definedName>
    <definedName name="___12__123Graph_Aｸﾞﾗﾌ_2" localSheetId="6" hidden="1">#REF!</definedName>
    <definedName name="___12__123Graph_Aｸﾞﾗﾌ_2" hidden="1">#REF!</definedName>
    <definedName name="___13__123Graph_Aｸﾞﾗﾌ_20" localSheetId="6" hidden="1">#REF!</definedName>
    <definedName name="___13__123Graph_Aｸﾞﾗﾌ_20" hidden="1">#REF!</definedName>
    <definedName name="___14__123Graph_Aｸﾞﾗﾌ_21" localSheetId="6" hidden="1">#REF!</definedName>
    <definedName name="___14__123Graph_Aｸﾞﾗﾌ_21" hidden="1">#REF!</definedName>
    <definedName name="___15__123Graph_Aｸﾞﾗﾌ_22" localSheetId="6" hidden="1">#REF!</definedName>
    <definedName name="___15__123Graph_Aｸﾞﾗﾌ_22" hidden="1">#REF!</definedName>
    <definedName name="___16__123Graph_Aｸﾞﾗﾌ_23" localSheetId="6" hidden="1">#REF!</definedName>
    <definedName name="___16__123Graph_Aｸﾞﾗﾌ_23" hidden="1">#REF!</definedName>
    <definedName name="___17__123Graph_Aｸﾞﾗﾌ_3" localSheetId="6" hidden="1">#REF!</definedName>
    <definedName name="___17__123Graph_Aｸﾞﾗﾌ_3" hidden="1">#REF!</definedName>
    <definedName name="___18__123Graph_Aｸﾞﾗﾌ_4" localSheetId="6" hidden="1">#REF!</definedName>
    <definedName name="___18__123Graph_Aｸﾞﾗﾌ_4" hidden="1">#REF!</definedName>
    <definedName name="___19__123Graph_Aｸﾞﾗﾌ_5" localSheetId="6" hidden="1">#REF!</definedName>
    <definedName name="___19__123Graph_Aｸﾞﾗﾌ_5" hidden="1">#REF!</definedName>
    <definedName name="___2__123Graph_Aｸﾞﾗﾌ_10" localSheetId="6" hidden="1">#REF!</definedName>
    <definedName name="___2__123Graph_Aｸﾞﾗﾌ_10" hidden="1">#REF!</definedName>
    <definedName name="___20__123Graph_Aｸﾞﾗﾌ_6" localSheetId="6" hidden="1">#REF!</definedName>
    <definedName name="___20__123Graph_Aｸﾞﾗﾌ_6" hidden="1">#REF!</definedName>
    <definedName name="___21__123Graph_Aｸﾞﾗﾌ_7" localSheetId="6" hidden="1">#REF!</definedName>
    <definedName name="___21__123Graph_Aｸﾞﾗﾌ_7" hidden="1">#REF!</definedName>
    <definedName name="___22__123Graph_Aｸﾞﾗﾌ_8" localSheetId="6" hidden="1">#REF!</definedName>
    <definedName name="___22__123Graph_Aｸﾞﾗﾌ_8" hidden="1">#REF!</definedName>
    <definedName name="___23__123Graph_Aｸﾞﾗﾌ_9" localSheetId="6" hidden="1">#REF!</definedName>
    <definedName name="___23__123Graph_Aｸﾞﾗﾌ_9" hidden="1">#REF!</definedName>
    <definedName name="___24__123Graph_Bｸﾞﾗﾌ_1" localSheetId="6" hidden="1">#REF!</definedName>
    <definedName name="___24__123Graph_Bｸﾞﾗﾌ_1" hidden="1">#REF!</definedName>
    <definedName name="___25__123Graph_Bｸﾞﾗﾌ_10" localSheetId="6" hidden="1">#REF!</definedName>
    <definedName name="___25__123Graph_Bｸﾞﾗﾌ_10" hidden="1">#REF!</definedName>
    <definedName name="___26__123Graph_Bｸﾞﾗﾌ_11" localSheetId="6" hidden="1">#REF!</definedName>
    <definedName name="___26__123Graph_Bｸﾞﾗﾌ_11" hidden="1">#REF!</definedName>
    <definedName name="___27__123Graph_Bｸﾞﾗﾌ_12" localSheetId="6" hidden="1">#REF!</definedName>
    <definedName name="___27__123Graph_Bｸﾞﾗﾌ_12" hidden="1">#REF!</definedName>
    <definedName name="___28__123Graph_Bｸﾞﾗﾌ_13" localSheetId="6" hidden="1">#REF!</definedName>
    <definedName name="___28__123Graph_Bｸﾞﾗﾌ_13" hidden="1">#REF!</definedName>
    <definedName name="___29__123Graph_Bｸﾞﾗﾌ_14" localSheetId="6" hidden="1">#REF!</definedName>
    <definedName name="___29__123Graph_Bｸﾞﾗﾌ_14" hidden="1">#REF!</definedName>
    <definedName name="___3__123Graph_Aｸﾞﾗﾌ_11" localSheetId="6" hidden="1">#REF!</definedName>
    <definedName name="___3__123Graph_Aｸﾞﾗﾌ_11" hidden="1">#REF!</definedName>
    <definedName name="___30__123Graph_Bｸﾞﾗﾌ_15" localSheetId="6" hidden="1">#REF!</definedName>
    <definedName name="___30__123Graph_Bｸﾞﾗﾌ_15" hidden="1">#REF!</definedName>
    <definedName name="___31__123Graph_Bｸﾞﾗﾌ_16" localSheetId="6" hidden="1">#REF!</definedName>
    <definedName name="___31__123Graph_Bｸﾞﾗﾌ_16" hidden="1">#REF!</definedName>
    <definedName name="___32__123Graph_Bｸﾞﾗﾌ_17" localSheetId="6" hidden="1">#REF!</definedName>
    <definedName name="___32__123Graph_Bｸﾞﾗﾌ_17" hidden="1">#REF!</definedName>
    <definedName name="___33__123Graph_Bｸﾞﾗﾌ_18" localSheetId="6" hidden="1">#REF!</definedName>
    <definedName name="___33__123Graph_Bｸﾞﾗﾌ_18" hidden="1">#REF!</definedName>
    <definedName name="___34__123Graph_Bｸﾞﾗﾌ_19" localSheetId="6" hidden="1">#REF!</definedName>
    <definedName name="___34__123Graph_Bｸﾞﾗﾌ_19" hidden="1">#REF!</definedName>
    <definedName name="___35__123Graph_Bｸﾞﾗﾌ_2" localSheetId="6" hidden="1">#REF!</definedName>
    <definedName name="___35__123Graph_Bｸﾞﾗﾌ_2" hidden="1">#REF!</definedName>
    <definedName name="___36__123Graph_Bｸﾞﾗﾌ_20" localSheetId="6" hidden="1">#REF!</definedName>
    <definedName name="___36__123Graph_Bｸﾞﾗﾌ_20" hidden="1">#REF!</definedName>
    <definedName name="___37__123Graph_Bｸﾞﾗﾌ_21" localSheetId="6" hidden="1">#REF!</definedName>
    <definedName name="___37__123Graph_Bｸﾞﾗﾌ_21" hidden="1">#REF!</definedName>
    <definedName name="___38__123Graph_Bｸﾞﾗﾌ_22" localSheetId="6" hidden="1">#REF!</definedName>
    <definedName name="___38__123Graph_Bｸﾞﾗﾌ_22" hidden="1">#REF!</definedName>
    <definedName name="___39__123Graph_Bｸﾞﾗﾌ_23" localSheetId="6" hidden="1">#REF!</definedName>
    <definedName name="___39__123Graph_Bｸﾞﾗﾌ_23" hidden="1">#REF!</definedName>
    <definedName name="___4__123Graph_Aｸﾞﾗﾌ_12" localSheetId="6" hidden="1">#REF!</definedName>
    <definedName name="___4__123Graph_Aｸﾞﾗﾌ_12" hidden="1">#REF!</definedName>
    <definedName name="___40__123Graph_Bｸﾞﾗﾌ_3" localSheetId="6" hidden="1">#REF!</definedName>
    <definedName name="___40__123Graph_Bｸﾞﾗﾌ_3" hidden="1">#REF!</definedName>
    <definedName name="___41__123Graph_Bｸﾞﾗﾌ_4" localSheetId="6" hidden="1">#REF!</definedName>
    <definedName name="___41__123Graph_Bｸﾞﾗﾌ_4" hidden="1">#REF!</definedName>
    <definedName name="___42__123Graph_Bｸﾞﾗﾌ_5" localSheetId="6" hidden="1">#REF!</definedName>
    <definedName name="___42__123Graph_Bｸﾞﾗﾌ_5" hidden="1">#REF!</definedName>
    <definedName name="___43__123Graph_Bｸﾞﾗﾌ_6" localSheetId="6" hidden="1">#REF!</definedName>
    <definedName name="___43__123Graph_Bｸﾞﾗﾌ_6" hidden="1">#REF!</definedName>
    <definedName name="___44__123Graph_Bｸﾞﾗﾌ_7" localSheetId="6" hidden="1">#REF!</definedName>
    <definedName name="___44__123Graph_Bｸﾞﾗﾌ_7" hidden="1">#REF!</definedName>
    <definedName name="___45__123Graph_Bｸﾞﾗﾌ_8" localSheetId="6" hidden="1">#REF!</definedName>
    <definedName name="___45__123Graph_Bｸﾞﾗﾌ_8" hidden="1">#REF!</definedName>
    <definedName name="___46__123Graph_Bｸﾞﾗﾌ_9" localSheetId="6" hidden="1">#REF!</definedName>
    <definedName name="___46__123Graph_Bｸﾞﾗﾌ_9" hidden="1">#REF!</definedName>
    <definedName name="___47__123Graph_Cｸﾞﾗﾌ_1" localSheetId="6" hidden="1">#REF!</definedName>
    <definedName name="___47__123Graph_Cｸﾞﾗﾌ_1" hidden="1">#REF!</definedName>
    <definedName name="___48__123Graph_Cｸﾞﾗﾌ_10" localSheetId="6" hidden="1">#REF!</definedName>
    <definedName name="___48__123Graph_Cｸﾞﾗﾌ_10" hidden="1">#REF!</definedName>
    <definedName name="___49__123Graph_Cｸﾞﾗﾌ_11" localSheetId="6" hidden="1">#REF!</definedName>
    <definedName name="___49__123Graph_Cｸﾞﾗﾌ_11" hidden="1">#REF!</definedName>
    <definedName name="___5__123Graph_Aｸﾞﾗﾌ_13" localSheetId="6" hidden="1">#REF!</definedName>
    <definedName name="___5__123Graph_Aｸﾞﾗﾌ_13" hidden="1">#REF!</definedName>
    <definedName name="___50__123Graph_Cｸﾞﾗﾌ_12" localSheetId="6" hidden="1">#REF!</definedName>
    <definedName name="___50__123Graph_Cｸﾞﾗﾌ_12" hidden="1">#REF!</definedName>
    <definedName name="___51__123Graph_Cｸﾞﾗﾌ_13" localSheetId="6" hidden="1">#REF!</definedName>
    <definedName name="___51__123Graph_Cｸﾞﾗﾌ_13" hidden="1">#REF!</definedName>
    <definedName name="___52__123Graph_Cｸﾞﾗﾌ_14" localSheetId="6" hidden="1">#REF!</definedName>
    <definedName name="___52__123Graph_Cｸﾞﾗﾌ_14" hidden="1">#REF!</definedName>
    <definedName name="___53__123Graph_Cｸﾞﾗﾌ_15" localSheetId="6" hidden="1">#REF!</definedName>
    <definedName name="___53__123Graph_Cｸﾞﾗﾌ_15" hidden="1">#REF!</definedName>
    <definedName name="___54__123Graph_Cｸﾞﾗﾌ_16" localSheetId="6" hidden="1">#REF!</definedName>
    <definedName name="___54__123Graph_Cｸﾞﾗﾌ_16" hidden="1">#REF!</definedName>
    <definedName name="___55__123Graph_Cｸﾞﾗﾌ_17" localSheetId="6" hidden="1">#REF!</definedName>
    <definedName name="___55__123Graph_Cｸﾞﾗﾌ_17" hidden="1">#REF!</definedName>
    <definedName name="___56__123Graph_Cｸﾞﾗﾌ_18" localSheetId="6" hidden="1">#REF!</definedName>
    <definedName name="___56__123Graph_Cｸﾞﾗﾌ_18" hidden="1">#REF!</definedName>
    <definedName name="___57__123Graph_Cｸﾞﾗﾌ_19" localSheetId="6" hidden="1">#REF!</definedName>
    <definedName name="___57__123Graph_Cｸﾞﾗﾌ_19" hidden="1">#REF!</definedName>
    <definedName name="___58__123Graph_Cｸﾞﾗﾌ_2" localSheetId="6" hidden="1">#REF!</definedName>
    <definedName name="___58__123Graph_Cｸﾞﾗﾌ_2" hidden="1">#REF!</definedName>
    <definedName name="___59__123Graph_Cｸﾞﾗﾌ_20" localSheetId="6" hidden="1">#REF!</definedName>
    <definedName name="___59__123Graph_Cｸﾞﾗﾌ_20" hidden="1">#REF!</definedName>
    <definedName name="___6__123Graph_Aｸﾞﾗﾌ_14" localSheetId="6" hidden="1">#REF!</definedName>
    <definedName name="___6__123Graph_Aｸﾞﾗﾌ_14" hidden="1">#REF!</definedName>
    <definedName name="___60__123Graph_Cｸﾞﾗﾌ_21" localSheetId="6" hidden="1">#REF!</definedName>
    <definedName name="___60__123Graph_Cｸﾞﾗﾌ_21" hidden="1">#REF!</definedName>
    <definedName name="___61__123Graph_Cｸﾞﾗﾌ_22" localSheetId="6" hidden="1">#REF!</definedName>
    <definedName name="___61__123Graph_Cｸﾞﾗﾌ_22" hidden="1">#REF!</definedName>
    <definedName name="___62__123Graph_Cｸﾞﾗﾌ_23" localSheetId="6" hidden="1">#REF!</definedName>
    <definedName name="___62__123Graph_Cｸﾞﾗﾌ_23" hidden="1">#REF!</definedName>
    <definedName name="___63__123Graph_Cｸﾞﾗﾌ_3" localSheetId="6" hidden="1">#REF!</definedName>
    <definedName name="___63__123Graph_Cｸﾞﾗﾌ_3" hidden="1">#REF!</definedName>
    <definedName name="___64__123Graph_Cｸﾞﾗﾌ_4" localSheetId="6" hidden="1">#REF!</definedName>
    <definedName name="___64__123Graph_Cｸﾞﾗﾌ_4" hidden="1">#REF!</definedName>
    <definedName name="___65__123Graph_Cｸﾞﾗﾌ_5" localSheetId="6" hidden="1">#REF!</definedName>
    <definedName name="___65__123Graph_Cｸﾞﾗﾌ_5" hidden="1">#REF!</definedName>
    <definedName name="___66__123Graph_Cｸﾞﾗﾌ_6" localSheetId="6" hidden="1">#REF!</definedName>
    <definedName name="___66__123Graph_Cｸﾞﾗﾌ_6" hidden="1">#REF!</definedName>
    <definedName name="___67__123Graph_Cｸﾞﾗﾌ_7" localSheetId="6" hidden="1">#REF!</definedName>
    <definedName name="___67__123Graph_Cｸﾞﾗﾌ_7" hidden="1">#REF!</definedName>
    <definedName name="___68__123Graph_Cｸﾞﾗﾌ_8" localSheetId="6" hidden="1">#REF!</definedName>
    <definedName name="___68__123Graph_Cｸﾞﾗﾌ_8" hidden="1">#REF!</definedName>
    <definedName name="___69__123Graph_Cｸﾞﾗﾌ_9" localSheetId="6" hidden="1">#REF!</definedName>
    <definedName name="___69__123Graph_Cｸﾞﾗﾌ_9" hidden="1">#REF!</definedName>
    <definedName name="___7__123Graph_Aｸﾞﾗﾌ_15" localSheetId="6" hidden="1">#REF!</definedName>
    <definedName name="___7__123Graph_Aｸﾞﾗﾌ_15" hidden="1">#REF!</definedName>
    <definedName name="___70__123Graph_Xｸﾞﾗﾌ_1" localSheetId="6" hidden="1">#REF!</definedName>
    <definedName name="___70__123Graph_Xｸﾞﾗﾌ_1" hidden="1">#REF!</definedName>
    <definedName name="___71__123Graph_Xｸﾞﾗﾌ_10" localSheetId="6" hidden="1">#REF!</definedName>
    <definedName name="___71__123Graph_Xｸﾞﾗﾌ_10" hidden="1">#REF!</definedName>
    <definedName name="___72__123Graph_Xｸﾞﾗﾌ_11" localSheetId="6" hidden="1">#REF!</definedName>
    <definedName name="___72__123Graph_Xｸﾞﾗﾌ_11" hidden="1">#REF!</definedName>
    <definedName name="___73__123Graph_Xｸﾞﾗﾌ_2" localSheetId="6" hidden="1">#REF!</definedName>
    <definedName name="___73__123Graph_Xｸﾞﾗﾌ_2" hidden="1">#REF!</definedName>
    <definedName name="___74__123Graph_Xｸﾞﾗﾌ_3" localSheetId="6" hidden="1">#REF!</definedName>
    <definedName name="___74__123Graph_Xｸﾞﾗﾌ_3" hidden="1">#REF!</definedName>
    <definedName name="___75__123Graph_Xｸﾞﾗﾌ_4" localSheetId="6" hidden="1">#REF!</definedName>
    <definedName name="___75__123Graph_Xｸﾞﾗﾌ_4" hidden="1">#REF!</definedName>
    <definedName name="___76__123Graph_Xｸﾞﾗﾌ_5" localSheetId="6" hidden="1">#REF!</definedName>
    <definedName name="___76__123Graph_Xｸﾞﾗﾌ_5" hidden="1">#REF!</definedName>
    <definedName name="___77__123Graph_Xｸﾞﾗﾌ_6" localSheetId="6" hidden="1">#REF!</definedName>
    <definedName name="___77__123Graph_Xｸﾞﾗﾌ_6" hidden="1">#REF!</definedName>
    <definedName name="___78__123Graph_Xｸﾞﾗﾌ_7" localSheetId="6" hidden="1">#REF!</definedName>
    <definedName name="___78__123Graph_Xｸﾞﾗﾌ_7" hidden="1">#REF!</definedName>
    <definedName name="___79__123Graph_Xｸﾞﾗﾌ_8" localSheetId="6" hidden="1">#REF!</definedName>
    <definedName name="___79__123Graph_Xｸﾞﾗﾌ_8" hidden="1">#REF!</definedName>
    <definedName name="___8__123Graph_Aｸﾞﾗﾌ_16" localSheetId="6" hidden="1">#REF!</definedName>
    <definedName name="___8__123Graph_Aｸﾞﾗﾌ_16" hidden="1">#REF!</definedName>
    <definedName name="___80__123Graph_Xｸﾞﾗﾌ_9" localSheetId="6" hidden="1">#REF!</definedName>
    <definedName name="___80__123Graph_Xｸﾞﾗﾌ_9" hidden="1">#REF!</definedName>
    <definedName name="___9__123Graph_Aｸﾞﾗﾌ_17" localSheetId="6" hidden="1">#REF!</definedName>
    <definedName name="___9__123Graph_Aｸﾞﾗﾌ_17" hidden="1">#REF!</definedName>
    <definedName name="___q556366" localSheetId="6" hidden="1">#REF!</definedName>
    <definedName name="___q556366" hidden="1">#REF!</definedName>
    <definedName name="__1__123Graph_Aｸﾞﾗﾌ_1" localSheetId="6" hidden="1">#REF!</definedName>
    <definedName name="__1__123Graph_Aｸﾞﾗﾌ_1" hidden="1">#REF!</definedName>
    <definedName name="__10__123Graph_Aｸﾞﾗﾌ_18" localSheetId="6" hidden="1">#REF!</definedName>
    <definedName name="__10__123Graph_Aｸﾞﾗﾌ_18" hidden="1">#REF!</definedName>
    <definedName name="__11__123Graph_Aｸﾞﾗﾌ_19" localSheetId="6" hidden="1">#REF!</definedName>
    <definedName name="__11__123Graph_Aｸﾞﾗﾌ_19" hidden="1">#REF!</definedName>
    <definedName name="__12__123Graph_Aｸﾞﾗﾌ_2" localSheetId="6" hidden="1">#REF!</definedName>
    <definedName name="__12__123Graph_Aｸﾞﾗﾌ_2" hidden="1">#REF!</definedName>
    <definedName name="__13__123Graph_Aｸﾞﾗﾌ_20" localSheetId="6" hidden="1">#REF!</definedName>
    <definedName name="__13__123Graph_Aｸﾞﾗﾌ_20" hidden="1">#REF!</definedName>
    <definedName name="__14__123Graph_Aｸﾞﾗﾌ_21" localSheetId="6" hidden="1">#REF!</definedName>
    <definedName name="__14__123Graph_Aｸﾞﾗﾌ_21" hidden="1">#REF!</definedName>
    <definedName name="__15__123Graph_Aｸﾞﾗﾌ_22" localSheetId="6" hidden="1">#REF!</definedName>
    <definedName name="__15__123Graph_Aｸﾞﾗﾌ_22" hidden="1">#REF!</definedName>
    <definedName name="__16__123Graph_Aｸﾞﾗﾌ_23" localSheetId="6" hidden="1">#REF!</definedName>
    <definedName name="__16__123Graph_Aｸﾞﾗﾌ_23" hidden="1">#REF!</definedName>
    <definedName name="__17__123Graph_Aｸﾞﾗﾌ_3" localSheetId="6" hidden="1">#REF!</definedName>
    <definedName name="__17__123Graph_Aｸﾞﾗﾌ_3" hidden="1">#REF!</definedName>
    <definedName name="__18__123Graph_Aｸﾞﾗﾌ_4" localSheetId="6" hidden="1">#REF!</definedName>
    <definedName name="__18__123Graph_Aｸﾞﾗﾌ_4" hidden="1">#REF!</definedName>
    <definedName name="__19__123Graph_Aｸﾞﾗﾌ_5" localSheetId="6" hidden="1">#REF!</definedName>
    <definedName name="__19__123Graph_Aｸﾞﾗﾌ_5" hidden="1">#REF!</definedName>
    <definedName name="__2__123Graph_Aｸﾞﾗﾌ_10" localSheetId="6" hidden="1">#REF!</definedName>
    <definedName name="__2__123Graph_Aｸﾞﾗﾌ_10" hidden="1">#REF!</definedName>
    <definedName name="__20__123Graph_Aｸﾞﾗﾌ_6" localSheetId="6" hidden="1">#REF!</definedName>
    <definedName name="__20__123Graph_Aｸﾞﾗﾌ_6" hidden="1">#REF!</definedName>
    <definedName name="__21__123Graph_Aｸﾞﾗﾌ_7" localSheetId="6" hidden="1">#REF!</definedName>
    <definedName name="__21__123Graph_Aｸﾞﾗﾌ_7" hidden="1">#REF!</definedName>
    <definedName name="__22__123Graph_Aｸﾞﾗﾌ_8" localSheetId="6" hidden="1">#REF!</definedName>
    <definedName name="__22__123Graph_Aｸﾞﾗﾌ_8" hidden="1">#REF!</definedName>
    <definedName name="__23__123Graph_Aｸﾞﾗﾌ_9" localSheetId="6" hidden="1">#REF!</definedName>
    <definedName name="__23__123Graph_Aｸﾞﾗﾌ_9" hidden="1">#REF!</definedName>
    <definedName name="__24__123Graph_Bｸﾞﾗﾌ_1" localSheetId="6" hidden="1">#REF!</definedName>
    <definedName name="__24__123Graph_Bｸﾞﾗﾌ_1" hidden="1">#REF!</definedName>
    <definedName name="__25__123Graph_Bｸﾞﾗﾌ_10" localSheetId="6" hidden="1">#REF!</definedName>
    <definedName name="__25__123Graph_Bｸﾞﾗﾌ_10" hidden="1">#REF!</definedName>
    <definedName name="__26__123Graph_Bｸﾞﾗﾌ_11" localSheetId="6" hidden="1">#REF!</definedName>
    <definedName name="__26__123Graph_Bｸﾞﾗﾌ_11" hidden="1">#REF!</definedName>
    <definedName name="__27__123Graph_Bｸﾞﾗﾌ_12" localSheetId="6" hidden="1">#REF!</definedName>
    <definedName name="__27__123Graph_Bｸﾞﾗﾌ_12" hidden="1">#REF!</definedName>
    <definedName name="__28__123Graph_Bｸﾞﾗﾌ_13" localSheetId="6" hidden="1">#REF!</definedName>
    <definedName name="__28__123Graph_Bｸﾞﾗﾌ_13" hidden="1">#REF!</definedName>
    <definedName name="__29__123Graph_Bｸﾞﾗﾌ_14" localSheetId="6" hidden="1">#REF!</definedName>
    <definedName name="__29__123Graph_Bｸﾞﾗﾌ_14" hidden="1">#REF!</definedName>
    <definedName name="__3__123Graph_Aｸﾞﾗﾌ_11" localSheetId="6" hidden="1">#REF!</definedName>
    <definedName name="__3__123Graph_Aｸﾞﾗﾌ_11" hidden="1">#REF!</definedName>
    <definedName name="__30__123Graph_Bｸﾞﾗﾌ_15" localSheetId="6" hidden="1">#REF!</definedName>
    <definedName name="__30__123Graph_Bｸﾞﾗﾌ_15" hidden="1">#REF!</definedName>
    <definedName name="__31__123Graph_Bｸﾞﾗﾌ_16" localSheetId="6" hidden="1">#REF!</definedName>
    <definedName name="__31__123Graph_Bｸﾞﾗﾌ_16" hidden="1">#REF!</definedName>
    <definedName name="__32__123Graph_Bｸﾞﾗﾌ_17" localSheetId="6" hidden="1">#REF!</definedName>
    <definedName name="__32__123Graph_Bｸﾞﾗﾌ_17" hidden="1">#REF!</definedName>
    <definedName name="__33__123Graph_Bｸﾞﾗﾌ_18" localSheetId="6" hidden="1">#REF!</definedName>
    <definedName name="__33__123Graph_Bｸﾞﾗﾌ_18" hidden="1">#REF!</definedName>
    <definedName name="__34__123Graph_Bｸﾞﾗﾌ_19" localSheetId="6" hidden="1">#REF!</definedName>
    <definedName name="__34__123Graph_Bｸﾞﾗﾌ_19" hidden="1">#REF!</definedName>
    <definedName name="__35__123Graph_Bｸﾞﾗﾌ_2" localSheetId="6" hidden="1">#REF!</definedName>
    <definedName name="__35__123Graph_Bｸﾞﾗﾌ_2" hidden="1">#REF!</definedName>
    <definedName name="__36__123Graph_Bｸﾞﾗﾌ_20" localSheetId="6" hidden="1">#REF!</definedName>
    <definedName name="__36__123Graph_Bｸﾞﾗﾌ_20" hidden="1">#REF!</definedName>
    <definedName name="__37__123Graph_Bｸﾞﾗﾌ_21" localSheetId="6" hidden="1">#REF!</definedName>
    <definedName name="__37__123Graph_Bｸﾞﾗﾌ_21" hidden="1">#REF!</definedName>
    <definedName name="__38__123Graph_Bｸﾞﾗﾌ_22" localSheetId="6" hidden="1">#REF!</definedName>
    <definedName name="__38__123Graph_Bｸﾞﾗﾌ_22" hidden="1">#REF!</definedName>
    <definedName name="__39__123Graph_Bｸﾞﾗﾌ_23" localSheetId="6" hidden="1">#REF!</definedName>
    <definedName name="__39__123Graph_Bｸﾞﾗﾌ_23" hidden="1">#REF!</definedName>
    <definedName name="__4__123Graph_Aｸﾞﾗﾌ_12" localSheetId="6" hidden="1">#REF!</definedName>
    <definedName name="__4__123Graph_Aｸﾞﾗﾌ_12" hidden="1">#REF!</definedName>
    <definedName name="__40__123Graph_Bｸﾞﾗﾌ_3" localSheetId="6" hidden="1">#REF!</definedName>
    <definedName name="__40__123Graph_Bｸﾞﾗﾌ_3" hidden="1">#REF!</definedName>
    <definedName name="__41__123Graph_Bｸﾞﾗﾌ_4" localSheetId="6" hidden="1">#REF!</definedName>
    <definedName name="__41__123Graph_Bｸﾞﾗﾌ_4" hidden="1">#REF!</definedName>
    <definedName name="__42__123Graph_Bｸﾞﾗﾌ_5" localSheetId="6" hidden="1">#REF!</definedName>
    <definedName name="__42__123Graph_Bｸﾞﾗﾌ_5" hidden="1">#REF!</definedName>
    <definedName name="__43__123Graph_Bｸﾞﾗﾌ_6" localSheetId="6" hidden="1">#REF!</definedName>
    <definedName name="__43__123Graph_Bｸﾞﾗﾌ_6" hidden="1">#REF!</definedName>
    <definedName name="__44__123Graph_Bｸﾞﾗﾌ_7" localSheetId="6" hidden="1">#REF!</definedName>
    <definedName name="__44__123Graph_Bｸﾞﾗﾌ_7" hidden="1">#REF!</definedName>
    <definedName name="__45__123Graph_Bｸﾞﾗﾌ_8" localSheetId="6" hidden="1">#REF!</definedName>
    <definedName name="__45__123Graph_Bｸﾞﾗﾌ_8" hidden="1">#REF!</definedName>
    <definedName name="__46__123Graph_Bｸﾞﾗﾌ_9" localSheetId="6" hidden="1">#REF!</definedName>
    <definedName name="__46__123Graph_Bｸﾞﾗﾌ_9" hidden="1">#REF!</definedName>
    <definedName name="__47__123Graph_Cｸﾞﾗﾌ_1" localSheetId="6" hidden="1">#REF!</definedName>
    <definedName name="__47__123Graph_Cｸﾞﾗﾌ_1" hidden="1">#REF!</definedName>
    <definedName name="__48__123Graph_Cｸﾞﾗﾌ_10" localSheetId="6" hidden="1">#REF!</definedName>
    <definedName name="__48__123Graph_Cｸﾞﾗﾌ_10" hidden="1">#REF!</definedName>
    <definedName name="__49__123Graph_Cｸﾞﾗﾌ_11" localSheetId="6" hidden="1">#REF!</definedName>
    <definedName name="__49__123Graph_Cｸﾞﾗﾌ_11" hidden="1">#REF!</definedName>
    <definedName name="__5__123Graph_Aｸﾞﾗﾌ_13" localSheetId="6" hidden="1">#REF!</definedName>
    <definedName name="__5__123Graph_Aｸﾞﾗﾌ_13" hidden="1">#REF!</definedName>
    <definedName name="__50__123Graph_Cｸﾞﾗﾌ_12" localSheetId="6" hidden="1">#REF!</definedName>
    <definedName name="__50__123Graph_Cｸﾞﾗﾌ_12" hidden="1">#REF!</definedName>
    <definedName name="__51__123Graph_Cｸﾞﾗﾌ_13" localSheetId="6" hidden="1">#REF!</definedName>
    <definedName name="__51__123Graph_Cｸﾞﾗﾌ_13" hidden="1">#REF!</definedName>
    <definedName name="__52__123Graph_Cｸﾞﾗﾌ_14" localSheetId="6" hidden="1">#REF!</definedName>
    <definedName name="__52__123Graph_Cｸﾞﾗﾌ_14" hidden="1">#REF!</definedName>
    <definedName name="__53__123Graph_Cｸﾞﾗﾌ_15" localSheetId="6" hidden="1">#REF!</definedName>
    <definedName name="__53__123Graph_Cｸﾞﾗﾌ_15" hidden="1">#REF!</definedName>
    <definedName name="__54__123Graph_Cｸﾞﾗﾌ_16" localSheetId="6" hidden="1">#REF!</definedName>
    <definedName name="__54__123Graph_Cｸﾞﾗﾌ_16" hidden="1">#REF!</definedName>
    <definedName name="__55__123Graph_Cｸﾞﾗﾌ_17" localSheetId="6" hidden="1">#REF!</definedName>
    <definedName name="__55__123Graph_Cｸﾞﾗﾌ_17" hidden="1">#REF!</definedName>
    <definedName name="__56__123Graph_Cｸﾞﾗﾌ_18" localSheetId="6" hidden="1">#REF!</definedName>
    <definedName name="__56__123Graph_Cｸﾞﾗﾌ_18" hidden="1">#REF!</definedName>
    <definedName name="__57__123Graph_Cｸﾞﾗﾌ_19" localSheetId="6" hidden="1">#REF!</definedName>
    <definedName name="__57__123Graph_Cｸﾞﾗﾌ_19" hidden="1">#REF!</definedName>
    <definedName name="__58__123Graph_Cｸﾞﾗﾌ_2" localSheetId="6" hidden="1">#REF!</definedName>
    <definedName name="__58__123Graph_Cｸﾞﾗﾌ_2" hidden="1">#REF!</definedName>
    <definedName name="__59__123Graph_Cｸﾞﾗﾌ_20" localSheetId="6" hidden="1">#REF!</definedName>
    <definedName name="__59__123Graph_Cｸﾞﾗﾌ_20" hidden="1">#REF!</definedName>
    <definedName name="__6__123Graph_Aｸﾞﾗﾌ_14" localSheetId="6" hidden="1">#REF!</definedName>
    <definedName name="__6__123Graph_Aｸﾞﾗﾌ_14" hidden="1">#REF!</definedName>
    <definedName name="__60__123Graph_Cｸﾞﾗﾌ_21" localSheetId="6" hidden="1">#REF!</definedName>
    <definedName name="__60__123Graph_Cｸﾞﾗﾌ_21" hidden="1">#REF!</definedName>
    <definedName name="__61__123Graph_Cｸﾞﾗﾌ_22" localSheetId="6" hidden="1">#REF!</definedName>
    <definedName name="__61__123Graph_Cｸﾞﾗﾌ_22" hidden="1">#REF!</definedName>
    <definedName name="__62__123Graph_Cｸﾞﾗﾌ_23" localSheetId="6" hidden="1">#REF!</definedName>
    <definedName name="__62__123Graph_Cｸﾞﾗﾌ_23" hidden="1">#REF!</definedName>
    <definedName name="__63__123Graph_Cｸﾞﾗﾌ_3" localSheetId="6" hidden="1">#REF!</definedName>
    <definedName name="__63__123Graph_Cｸﾞﾗﾌ_3" hidden="1">#REF!</definedName>
    <definedName name="__64__123Graph_Cｸﾞﾗﾌ_4" localSheetId="6" hidden="1">#REF!</definedName>
    <definedName name="__64__123Graph_Cｸﾞﾗﾌ_4" hidden="1">#REF!</definedName>
    <definedName name="__65__123Graph_Cｸﾞﾗﾌ_5" localSheetId="6" hidden="1">#REF!</definedName>
    <definedName name="__65__123Graph_Cｸﾞﾗﾌ_5" hidden="1">#REF!</definedName>
    <definedName name="__66__123Graph_Cｸﾞﾗﾌ_6" localSheetId="6" hidden="1">#REF!</definedName>
    <definedName name="__66__123Graph_Cｸﾞﾗﾌ_6" hidden="1">#REF!</definedName>
    <definedName name="__67__123Graph_Cｸﾞﾗﾌ_7" localSheetId="6" hidden="1">#REF!</definedName>
    <definedName name="__67__123Graph_Cｸﾞﾗﾌ_7" hidden="1">#REF!</definedName>
    <definedName name="__68__123Graph_Cｸﾞﾗﾌ_8" localSheetId="6" hidden="1">#REF!</definedName>
    <definedName name="__68__123Graph_Cｸﾞﾗﾌ_8" hidden="1">#REF!</definedName>
    <definedName name="__69__123Graph_Cｸﾞﾗﾌ_9" localSheetId="6" hidden="1">#REF!</definedName>
    <definedName name="__69__123Graph_Cｸﾞﾗﾌ_9" hidden="1">#REF!</definedName>
    <definedName name="__7__123Graph_Aｸﾞﾗﾌ_15" localSheetId="6" hidden="1">#REF!</definedName>
    <definedName name="__7__123Graph_Aｸﾞﾗﾌ_15" hidden="1">#REF!</definedName>
    <definedName name="__70__123Graph_Xｸﾞﾗﾌ_1" localSheetId="6" hidden="1">#REF!</definedName>
    <definedName name="__70__123Graph_Xｸﾞﾗﾌ_1" hidden="1">#REF!</definedName>
    <definedName name="__71__123Graph_Xｸﾞﾗﾌ_10" localSheetId="6" hidden="1">#REF!</definedName>
    <definedName name="__71__123Graph_Xｸﾞﾗﾌ_10" hidden="1">#REF!</definedName>
    <definedName name="__72__123Graph_Xｸﾞﾗﾌ_11" localSheetId="6" hidden="1">#REF!</definedName>
    <definedName name="__72__123Graph_Xｸﾞﾗﾌ_11" hidden="1">#REF!</definedName>
    <definedName name="__73__123Graph_Xｸﾞﾗﾌ_2" localSheetId="6" hidden="1">#REF!</definedName>
    <definedName name="__73__123Graph_Xｸﾞﾗﾌ_2" hidden="1">#REF!</definedName>
    <definedName name="__74__123Graph_Xｸﾞﾗﾌ_3" localSheetId="6" hidden="1">#REF!</definedName>
    <definedName name="__74__123Graph_Xｸﾞﾗﾌ_3" hidden="1">#REF!</definedName>
    <definedName name="__75__123Graph_Xｸﾞﾗﾌ_4" localSheetId="6" hidden="1">#REF!</definedName>
    <definedName name="__75__123Graph_Xｸﾞﾗﾌ_4" hidden="1">#REF!</definedName>
    <definedName name="__76__123Graph_Xｸﾞﾗﾌ_5" localSheetId="6" hidden="1">#REF!</definedName>
    <definedName name="__76__123Graph_Xｸﾞﾗﾌ_5" hidden="1">#REF!</definedName>
    <definedName name="__77__123Graph_Xｸﾞﾗﾌ_6" localSheetId="6" hidden="1">#REF!</definedName>
    <definedName name="__77__123Graph_Xｸﾞﾗﾌ_6" hidden="1">#REF!</definedName>
    <definedName name="__78__123Graph_Xｸﾞﾗﾌ_7" localSheetId="6" hidden="1">#REF!</definedName>
    <definedName name="__78__123Graph_Xｸﾞﾗﾌ_7" hidden="1">#REF!</definedName>
    <definedName name="__79__123Graph_Xｸﾞﾗﾌ_8" localSheetId="6" hidden="1">#REF!</definedName>
    <definedName name="__79__123Graph_Xｸﾞﾗﾌ_8" hidden="1">#REF!</definedName>
    <definedName name="__8__123Graph_Aｸﾞﾗﾌ_16" localSheetId="6" hidden="1">#REF!</definedName>
    <definedName name="__8__123Graph_Aｸﾞﾗﾌ_16" hidden="1">#REF!</definedName>
    <definedName name="__80__123Graph_Xｸﾞﾗﾌ_9" localSheetId="6" hidden="1">#REF!</definedName>
    <definedName name="__80__123Graph_Xｸﾞﾗﾌ_9" hidden="1">#REF!</definedName>
    <definedName name="__9__123Graph_Aｸﾞﾗﾌ_17" localSheetId="6" hidden="1">#REF!</definedName>
    <definedName name="__9__123Graph_Aｸﾞﾗﾌ_17" hidden="1">#REF!</definedName>
    <definedName name="__q556366" localSheetId="6" hidden="1">#REF!</definedName>
    <definedName name="__q556366" hidden="1">#REF!</definedName>
    <definedName name="_1__123Graph_Aｸﾞﾗﾌ_1" localSheetId="6" hidden="1">#REF!</definedName>
    <definedName name="_1__123Graph_Aｸﾞﾗﾌ_1" hidden="1">#REF!</definedName>
    <definedName name="_10__123Graph_Aｸﾞﾗﾌ_18" localSheetId="6" hidden="1">#REF!</definedName>
    <definedName name="_10__123Graph_Aｸﾞﾗﾌ_18" hidden="1">#REF!</definedName>
    <definedName name="_11__123Graph_Aｸﾞﾗﾌ_19" localSheetId="6" hidden="1">#REF!</definedName>
    <definedName name="_11__123Graph_Aｸﾞﾗﾌ_19" hidden="1">#REF!</definedName>
    <definedName name="_12__123Graph_Aｸﾞﾗﾌ_2" localSheetId="6" hidden="1">#REF!</definedName>
    <definedName name="_12__123Graph_Aｸﾞﾗﾌ_2" hidden="1">#REF!</definedName>
    <definedName name="_13__123Graph_Aｸﾞﾗﾌ_20" localSheetId="6" hidden="1">#REF!</definedName>
    <definedName name="_13__123Graph_Aｸﾞﾗﾌ_20" hidden="1">#REF!</definedName>
    <definedName name="_14__123Graph_Aｸﾞﾗﾌ_21" localSheetId="6" hidden="1">#REF!</definedName>
    <definedName name="_14__123Graph_Aｸﾞﾗﾌ_21" hidden="1">#REF!</definedName>
    <definedName name="_15__123Graph_Aｸﾞﾗﾌ_22" localSheetId="6" hidden="1">#REF!</definedName>
    <definedName name="_15__123Graph_Aｸﾞﾗﾌ_22" hidden="1">#REF!</definedName>
    <definedName name="_16__123Graph_Aｸﾞﾗﾌ_23" localSheetId="6" hidden="1">#REF!</definedName>
    <definedName name="_16__123Graph_Aｸﾞﾗﾌ_23" hidden="1">#REF!</definedName>
    <definedName name="_17__123Graph_Aｸﾞﾗﾌ_3" localSheetId="6" hidden="1">#REF!</definedName>
    <definedName name="_17__123Graph_Aｸﾞﾗﾌ_3" hidden="1">#REF!</definedName>
    <definedName name="_18__123Graph_Aｸﾞﾗﾌ_4" localSheetId="6" hidden="1">#REF!</definedName>
    <definedName name="_18__123Graph_Aｸﾞﾗﾌ_4" hidden="1">#REF!</definedName>
    <definedName name="_19__123Graph_Aｸﾞﾗﾌ_5" localSheetId="6" hidden="1">#REF!</definedName>
    <definedName name="_19__123Graph_Aｸﾞﾗﾌ_5" hidden="1">#REF!</definedName>
    <definedName name="_2__123Graph_Aｸﾞﾗﾌ_10" localSheetId="6" hidden="1">#REF!</definedName>
    <definedName name="_2__123Graph_Aｸﾞﾗﾌ_10" hidden="1">#REF!</definedName>
    <definedName name="_20__123Graph_Aｸﾞﾗﾌ_6" localSheetId="6" hidden="1">#REF!</definedName>
    <definedName name="_20__123Graph_Aｸﾞﾗﾌ_6" hidden="1">#REF!</definedName>
    <definedName name="_21__123Graph_Aｸﾞﾗﾌ_7" localSheetId="6" hidden="1">#REF!</definedName>
    <definedName name="_21__123Graph_Aｸﾞﾗﾌ_7" hidden="1">#REF!</definedName>
    <definedName name="_22__123Graph_Aｸﾞﾗﾌ_8" localSheetId="6" hidden="1">#REF!</definedName>
    <definedName name="_22__123Graph_Aｸﾞﾗﾌ_8" hidden="1">#REF!</definedName>
    <definedName name="_23__123Graph_Aｸﾞﾗﾌ_9" localSheetId="6" hidden="1">#REF!</definedName>
    <definedName name="_23__123Graph_Aｸﾞﾗﾌ_9" hidden="1">#REF!</definedName>
    <definedName name="_24__123Graph_Bｸﾞﾗﾌ_1" localSheetId="6" hidden="1">#REF!</definedName>
    <definedName name="_24__123Graph_Bｸﾞﾗﾌ_1" hidden="1">#REF!</definedName>
    <definedName name="_25__123Graph_Bｸﾞﾗﾌ_10" localSheetId="6" hidden="1">#REF!</definedName>
    <definedName name="_25__123Graph_Bｸﾞﾗﾌ_10" hidden="1">#REF!</definedName>
    <definedName name="_26__123Graph_Bｸﾞﾗﾌ_11" localSheetId="6" hidden="1">#REF!</definedName>
    <definedName name="_26__123Graph_Bｸﾞﾗﾌ_11" hidden="1">#REF!</definedName>
    <definedName name="_27__123Graph_Bｸﾞﾗﾌ_12" localSheetId="6" hidden="1">#REF!</definedName>
    <definedName name="_27__123Graph_Bｸﾞﾗﾌ_12" hidden="1">#REF!</definedName>
    <definedName name="_28__123Graph_Bｸﾞﾗﾌ_13" localSheetId="6" hidden="1">#REF!</definedName>
    <definedName name="_28__123Graph_Bｸﾞﾗﾌ_13" hidden="1">#REF!</definedName>
    <definedName name="_29__123Graph_Bｸﾞﾗﾌ_14" localSheetId="6" hidden="1">#REF!</definedName>
    <definedName name="_29__123Graph_Bｸﾞﾗﾌ_14" hidden="1">#REF!</definedName>
    <definedName name="_3__123Graph_Aｸﾞﾗﾌ_11" localSheetId="6" hidden="1">#REF!</definedName>
    <definedName name="_3__123Graph_Aｸﾞﾗﾌ_11" hidden="1">#REF!</definedName>
    <definedName name="_30__123Graph_Bｸﾞﾗﾌ_15" localSheetId="6" hidden="1">#REF!</definedName>
    <definedName name="_30__123Graph_Bｸﾞﾗﾌ_15" hidden="1">#REF!</definedName>
    <definedName name="_31__123Graph_Bｸﾞﾗﾌ_16" localSheetId="6" hidden="1">#REF!</definedName>
    <definedName name="_31__123Graph_Bｸﾞﾗﾌ_16" hidden="1">#REF!</definedName>
    <definedName name="_32__123Graph_Bｸﾞﾗﾌ_17" localSheetId="6" hidden="1">#REF!</definedName>
    <definedName name="_32__123Graph_Bｸﾞﾗﾌ_17" hidden="1">#REF!</definedName>
    <definedName name="_33__123Graph_Bｸﾞﾗﾌ_18" localSheetId="6" hidden="1">#REF!</definedName>
    <definedName name="_33__123Graph_Bｸﾞﾗﾌ_18" hidden="1">#REF!</definedName>
    <definedName name="_34__123Graph_Bｸﾞﾗﾌ_19" localSheetId="6" hidden="1">#REF!</definedName>
    <definedName name="_34__123Graph_Bｸﾞﾗﾌ_19" hidden="1">#REF!</definedName>
    <definedName name="_35__123Graph_Bｸﾞﾗﾌ_2" localSheetId="6" hidden="1">#REF!</definedName>
    <definedName name="_35__123Graph_Bｸﾞﾗﾌ_2" hidden="1">#REF!</definedName>
    <definedName name="_36__123Graph_Bｸﾞﾗﾌ_20" localSheetId="6" hidden="1">#REF!</definedName>
    <definedName name="_36__123Graph_Bｸﾞﾗﾌ_20" hidden="1">#REF!</definedName>
    <definedName name="_37__123Graph_Bｸﾞﾗﾌ_21" localSheetId="6" hidden="1">#REF!</definedName>
    <definedName name="_37__123Graph_Bｸﾞﾗﾌ_21" hidden="1">#REF!</definedName>
    <definedName name="_38__123Graph_Bｸﾞﾗﾌ_22" localSheetId="6" hidden="1">#REF!</definedName>
    <definedName name="_38__123Graph_Bｸﾞﾗﾌ_22" hidden="1">#REF!</definedName>
    <definedName name="_39__123Graph_Bｸﾞﾗﾌ_23" localSheetId="6" hidden="1">#REF!</definedName>
    <definedName name="_39__123Graph_Bｸﾞﾗﾌ_23" hidden="1">#REF!</definedName>
    <definedName name="_4__123Graph_Aｸﾞﾗﾌ_12" localSheetId="6" hidden="1">#REF!</definedName>
    <definedName name="_4__123Graph_Aｸﾞﾗﾌ_12" hidden="1">#REF!</definedName>
    <definedName name="_40__123Graph_Bｸﾞﾗﾌ_3" localSheetId="6" hidden="1">#REF!</definedName>
    <definedName name="_40__123Graph_Bｸﾞﾗﾌ_3" hidden="1">#REF!</definedName>
    <definedName name="_41__123Graph_Bｸﾞﾗﾌ_4" localSheetId="6" hidden="1">#REF!</definedName>
    <definedName name="_41__123Graph_Bｸﾞﾗﾌ_4" hidden="1">#REF!</definedName>
    <definedName name="_42__123Graph_Bｸﾞﾗﾌ_5" localSheetId="6" hidden="1">#REF!</definedName>
    <definedName name="_42__123Graph_Bｸﾞﾗﾌ_5" hidden="1">#REF!</definedName>
    <definedName name="_43__123Graph_Bｸﾞﾗﾌ_6" localSheetId="6" hidden="1">#REF!</definedName>
    <definedName name="_43__123Graph_Bｸﾞﾗﾌ_6" hidden="1">#REF!</definedName>
    <definedName name="_44__123Graph_Bｸﾞﾗﾌ_7" localSheetId="6" hidden="1">#REF!</definedName>
    <definedName name="_44__123Graph_Bｸﾞﾗﾌ_7" hidden="1">#REF!</definedName>
    <definedName name="_45__123Graph_Bｸﾞﾗﾌ_8" localSheetId="6" hidden="1">#REF!</definedName>
    <definedName name="_45__123Graph_Bｸﾞﾗﾌ_8" hidden="1">#REF!</definedName>
    <definedName name="_46__123Graph_Bｸﾞﾗﾌ_9" localSheetId="6" hidden="1">#REF!</definedName>
    <definedName name="_46__123Graph_Bｸﾞﾗﾌ_9" hidden="1">#REF!</definedName>
    <definedName name="_47__123Graph_Cｸﾞﾗﾌ_1" localSheetId="6" hidden="1">#REF!</definedName>
    <definedName name="_47__123Graph_Cｸﾞﾗﾌ_1" hidden="1">#REF!</definedName>
    <definedName name="_48__123Graph_Cｸﾞﾗﾌ_10" localSheetId="6" hidden="1">#REF!</definedName>
    <definedName name="_48__123Graph_Cｸﾞﾗﾌ_10" hidden="1">#REF!</definedName>
    <definedName name="_49__123Graph_Cｸﾞﾗﾌ_11" localSheetId="6" hidden="1">#REF!</definedName>
    <definedName name="_49__123Graph_Cｸﾞﾗﾌ_11" hidden="1">#REF!</definedName>
    <definedName name="_5__123Graph_Aｸﾞﾗﾌ_13" localSheetId="6" hidden="1">#REF!</definedName>
    <definedName name="_5__123Graph_Aｸﾞﾗﾌ_13" hidden="1">#REF!</definedName>
    <definedName name="_50__123Graph_Cｸﾞﾗﾌ_12" localSheetId="6" hidden="1">#REF!</definedName>
    <definedName name="_50__123Graph_Cｸﾞﾗﾌ_12" hidden="1">#REF!</definedName>
    <definedName name="_51__123Graph_Cｸﾞﾗﾌ_13" localSheetId="6" hidden="1">#REF!</definedName>
    <definedName name="_51__123Graph_Cｸﾞﾗﾌ_13" hidden="1">#REF!</definedName>
    <definedName name="_52__123Graph_Cｸﾞﾗﾌ_14" localSheetId="6" hidden="1">#REF!</definedName>
    <definedName name="_52__123Graph_Cｸﾞﾗﾌ_14" hidden="1">#REF!</definedName>
    <definedName name="_53__123Graph_Cｸﾞﾗﾌ_15" localSheetId="6" hidden="1">#REF!</definedName>
    <definedName name="_53__123Graph_Cｸﾞﾗﾌ_15" hidden="1">#REF!</definedName>
    <definedName name="_54__123Graph_Cｸﾞﾗﾌ_16" localSheetId="6" hidden="1">#REF!</definedName>
    <definedName name="_54__123Graph_Cｸﾞﾗﾌ_16" hidden="1">#REF!</definedName>
    <definedName name="_55__123Graph_Cｸﾞﾗﾌ_17" localSheetId="6" hidden="1">#REF!</definedName>
    <definedName name="_55__123Graph_Cｸﾞﾗﾌ_17" hidden="1">#REF!</definedName>
    <definedName name="_56__123Graph_Cｸﾞﾗﾌ_18" localSheetId="6" hidden="1">#REF!</definedName>
    <definedName name="_56__123Graph_Cｸﾞﾗﾌ_18" hidden="1">#REF!</definedName>
    <definedName name="_57__123Graph_Cｸﾞﾗﾌ_19" localSheetId="6" hidden="1">#REF!</definedName>
    <definedName name="_57__123Graph_Cｸﾞﾗﾌ_19" hidden="1">#REF!</definedName>
    <definedName name="_58__123Graph_Cｸﾞﾗﾌ_2" localSheetId="6" hidden="1">#REF!</definedName>
    <definedName name="_58__123Graph_Cｸﾞﾗﾌ_2" hidden="1">#REF!</definedName>
    <definedName name="_59__123Graph_Cｸﾞﾗﾌ_20" localSheetId="6" hidden="1">#REF!</definedName>
    <definedName name="_59__123Graph_Cｸﾞﾗﾌ_20" hidden="1">#REF!</definedName>
    <definedName name="_6__123Graph_Aｸﾞﾗﾌ_14" localSheetId="6" hidden="1">#REF!</definedName>
    <definedName name="_6__123Graph_Aｸﾞﾗﾌ_14" hidden="1">#REF!</definedName>
    <definedName name="_60__123Graph_Cｸﾞﾗﾌ_21" localSheetId="6" hidden="1">#REF!</definedName>
    <definedName name="_60__123Graph_Cｸﾞﾗﾌ_21" hidden="1">#REF!</definedName>
    <definedName name="_61__123Graph_Cｸﾞﾗﾌ_22" localSheetId="6" hidden="1">#REF!</definedName>
    <definedName name="_61__123Graph_Cｸﾞﾗﾌ_22" hidden="1">#REF!</definedName>
    <definedName name="_62__123Graph_Cｸﾞﾗﾌ_23" localSheetId="6" hidden="1">#REF!</definedName>
    <definedName name="_62__123Graph_Cｸﾞﾗﾌ_23" hidden="1">#REF!</definedName>
    <definedName name="_63__123Graph_Cｸﾞﾗﾌ_3" localSheetId="6" hidden="1">#REF!</definedName>
    <definedName name="_63__123Graph_Cｸﾞﾗﾌ_3" hidden="1">#REF!</definedName>
    <definedName name="_64__123Graph_Cｸﾞﾗﾌ_4" localSheetId="6" hidden="1">#REF!</definedName>
    <definedName name="_64__123Graph_Cｸﾞﾗﾌ_4" hidden="1">#REF!</definedName>
    <definedName name="_65__123Graph_Cｸﾞﾗﾌ_5" localSheetId="6" hidden="1">#REF!</definedName>
    <definedName name="_65__123Graph_Cｸﾞﾗﾌ_5" hidden="1">#REF!</definedName>
    <definedName name="_66__123Graph_Cｸﾞﾗﾌ_6" localSheetId="6" hidden="1">#REF!</definedName>
    <definedName name="_66__123Graph_Cｸﾞﾗﾌ_6" hidden="1">#REF!</definedName>
    <definedName name="_67__123Graph_Cｸﾞﾗﾌ_7" localSheetId="6" hidden="1">#REF!</definedName>
    <definedName name="_67__123Graph_Cｸﾞﾗﾌ_7" hidden="1">#REF!</definedName>
    <definedName name="_68__123Graph_Cｸﾞﾗﾌ_8" localSheetId="6" hidden="1">#REF!</definedName>
    <definedName name="_68__123Graph_Cｸﾞﾗﾌ_8" hidden="1">#REF!</definedName>
    <definedName name="_69__123Graph_Cｸﾞﾗﾌ_9" localSheetId="6" hidden="1">#REF!</definedName>
    <definedName name="_69__123Graph_Cｸﾞﾗﾌ_9" hidden="1">#REF!</definedName>
    <definedName name="_7__123Graph_Aｸﾞﾗﾌ_15" localSheetId="6" hidden="1">#REF!</definedName>
    <definedName name="_7__123Graph_Aｸﾞﾗﾌ_15" hidden="1">#REF!</definedName>
    <definedName name="_70__123Graph_Xｸﾞﾗﾌ_1" localSheetId="6" hidden="1">#REF!</definedName>
    <definedName name="_70__123Graph_Xｸﾞﾗﾌ_1" hidden="1">#REF!</definedName>
    <definedName name="_71__123Graph_Xｸﾞﾗﾌ_10" localSheetId="6" hidden="1">#REF!</definedName>
    <definedName name="_71__123Graph_Xｸﾞﾗﾌ_10" hidden="1">#REF!</definedName>
    <definedName name="_72__123Graph_Xｸﾞﾗﾌ_11" localSheetId="6" hidden="1">#REF!</definedName>
    <definedName name="_72__123Graph_Xｸﾞﾗﾌ_11" hidden="1">#REF!</definedName>
    <definedName name="_73__123Graph_Xｸﾞﾗﾌ_2" localSheetId="6" hidden="1">#REF!</definedName>
    <definedName name="_73__123Graph_Xｸﾞﾗﾌ_2" hidden="1">#REF!</definedName>
    <definedName name="_74__123Graph_Xｸﾞﾗﾌ_3" localSheetId="6" hidden="1">#REF!</definedName>
    <definedName name="_74__123Graph_Xｸﾞﾗﾌ_3" hidden="1">#REF!</definedName>
    <definedName name="_75__123Graph_Xｸﾞﾗﾌ_4" localSheetId="6" hidden="1">#REF!</definedName>
    <definedName name="_75__123Graph_Xｸﾞﾗﾌ_4" hidden="1">#REF!</definedName>
    <definedName name="_76__123Graph_Xｸﾞﾗﾌ_5" localSheetId="6" hidden="1">#REF!</definedName>
    <definedName name="_76__123Graph_Xｸﾞﾗﾌ_5" hidden="1">#REF!</definedName>
    <definedName name="_77__123Graph_Xｸﾞﾗﾌ_6" localSheetId="6" hidden="1">#REF!</definedName>
    <definedName name="_77__123Graph_Xｸﾞﾗﾌ_6" hidden="1">#REF!</definedName>
    <definedName name="_78__123Graph_Xｸﾞﾗﾌ_7" localSheetId="6" hidden="1">#REF!</definedName>
    <definedName name="_78__123Graph_Xｸﾞﾗﾌ_7" hidden="1">#REF!</definedName>
    <definedName name="_79__123Graph_Xｸﾞﾗﾌ_8" localSheetId="6" hidden="1">#REF!</definedName>
    <definedName name="_79__123Graph_Xｸﾞﾗﾌ_8" hidden="1">#REF!</definedName>
    <definedName name="_8__123Graph_Aｸﾞﾗﾌ_16" localSheetId="6" hidden="1">#REF!</definedName>
    <definedName name="_8__123Graph_Aｸﾞﾗﾌ_16" hidden="1">#REF!</definedName>
    <definedName name="_80__123Graph_Xｸﾞﾗﾌ_9" localSheetId="6" hidden="1">#REF!</definedName>
    <definedName name="_80__123Graph_Xｸﾞﾗﾌ_9" hidden="1">#REF!</definedName>
    <definedName name="_9__123Graph_Aｸﾞﾗﾌ_17" localSheetId="6" hidden="1">#REF!</definedName>
    <definedName name="_9__123Graph_Aｸﾞﾗﾌ_17" hidden="1">#REF!</definedName>
    <definedName name="_xlnm._FilterDatabase" localSheetId="3" hidden="1">'03_Checksheet_CBSX'!$A$9:$M$9</definedName>
    <definedName name="_xlnm._FilterDatabase" localSheetId="4" hidden="1">'04_So_theo_doi_van_de'!$A$3:$R$28</definedName>
    <definedName name="_xlnm._FilterDatabase" localSheetId="6" hidden="1">#REF!</definedName>
    <definedName name="_xlnm._FilterDatabase" hidden="1">#REF!</definedName>
    <definedName name="_Key1" localSheetId="6" hidden="1">#REF!</definedName>
    <definedName name="_Key1" hidden="1">#REF!</definedName>
    <definedName name="_Key2" localSheetId="6" hidden="1">#REF!</definedName>
    <definedName name="_Key2" hidden="1">#REF!</definedName>
    <definedName name="_Order1" hidden="1">255</definedName>
    <definedName name="_Order2" hidden="1">255</definedName>
    <definedName name="_q556366" localSheetId="6" hidden="1">#REF!</definedName>
    <definedName name="_q556366" hidden="1">#REF!</definedName>
    <definedName name="_Sort" localSheetId="6" hidden="1">[1]計画アイテム!#REF!</definedName>
    <definedName name="_Sort" hidden="1">[1]計画アイテム!#REF!</definedName>
    <definedName name="AdmP_Approved011701" localSheetId="6">#REF!</definedName>
    <definedName name="AdmP_Approved011701">#REF!</definedName>
    <definedName name="AdmP_Approved011801" localSheetId="6">#REF!</definedName>
    <definedName name="AdmP_Approved011801">#REF!</definedName>
    <definedName name="AdmP_Approved011901" localSheetId="6">#REF!</definedName>
    <definedName name="AdmP_Approved011901">#REF!</definedName>
    <definedName name="AdmP_Approved012001" localSheetId="6">#REF!</definedName>
    <definedName name="AdmP_Approved012001">#REF!</definedName>
    <definedName name="AdmP_Approved012101" localSheetId="6">#REF!</definedName>
    <definedName name="AdmP_Approved012101">#REF!</definedName>
    <definedName name="Approved010101" localSheetId="6">#REF!</definedName>
    <definedName name="Approved010101">#REF!</definedName>
    <definedName name="Approved010102" localSheetId="6">#REF!</definedName>
    <definedName name="Approved010102">#REF!</definedName>
    <definedName name="Approved010201" localSheetId="6">#REF!</definedName>
    <definedName name="Approved010201">#REF!</definedName>
    <definedName name="Approved010301" localSheetId="6">#REF!</definedName>
    <definedName name="Approved010301">#REF!</definedName>
    <definedName name="Approved010401" localSheetId="6">#REF!</definedName>
    <definedName name="Approved010401">#REF!</definedName>
    <definedName name="Approved010501" localSheetId="6">#REF!</definedName>
    <definedName name="Approved010501">#REF!</definedName>
    <definedName name="Approved010601" localSheetId="6">#REF!</definedName>
    <definedName name="Approved010601">#REF!</definedName>
    <definedName name="Approved010701" localSheetId="6">#REF!</definedName>
    <definedName name="Approved010701">#REF!</definedName>
    <definedName name="Approved010801" localSheetId="6">#REF!</definedName>
    <definedName name="Approved010801">#REF!</definedName>
    <definedName name="Approved010901" localSheetId="6">#REF!</definedName>
    <definedName name="Approved010901">#REF!</definedName>
    <definedName name="Approved011001" localSheetId="6">#REF!</definedName>
    <definedName name="Approved011001">#REF!</definedName>
    <definedName name="Approved011101" localSheetId="6">#REF!</definedName>
    <definedName name="Approved011101">#REF!</definedName>
    <definedName name="Approved011201" localSheetId="6">#REF!</definedName>
    <definedName name="Approved011201">#REF!</definedName>
    <definedName name="Approved011301" localSheetId="6">#REF!</definedName>
    <definedName name="Approved011301">#REF!</definedName>
    <definedName name="Approved011401" localSheetId="6">#REF!</definedName>
    <definedName name="Approved011401">#REF!</definedName>
    <definedName name="Approved011501" localSheetId="6">#REF!</definedName>
    <definedName name="Approved011501">#REF!</definedName>
    <definedName name="Approved011601" localSheetId="6">#REF!</definedName>
    <definedName name="Approved011601">#REF!</definedName>
    <definedName name="Approved011701" localSheetId="6">#REF!</definedName>
    <definedName name="Approved011701">#REF!</definedName>
    <definedName name="Approved011801" localSheetId="6">#REF!</definedName>
    <definedName name="Approved011801">#REF!</definedName>
    <definedName name="Approved011901" localSheetId="6">#REF!</definedName>
    <definedName name="Approved011901">#REF!</definedName>
    <definedName name="Approved012001" localSheetId="6">#REF!</definedName>
    <definedName name="Approved012001">#REF!</definedName>
    <definedName name="Approved012101" localSheetId="6">#REF!</definedName>
    <definedName name="Approved012101">#REF!</definedName>
    <definedName name="CADCode010101" localSheetId="6">#REF!</definedName>
    <definedName name="CADCode010101">#REF!</definedName>
    <definedName name="Checked010101" localSheetId="6">#REF!</definedName>
    <definedName name="Checked010101">#REF!</definedName>
    <definedName name="Checked010102" localSheetId="6">#REF!</definedName>
    <definedName name="Checked010102">#REF!</definedName>
    <definedName name="Checked010201" localSheetId="6">#REF!</definedName>
    <definedName name="Checked010201">#REF!</definedName>
    <definedName name="Checked010301" localSheetId="6">#REF!</definedName>
    <definedName name="Checked010301">#REF!</definedName>
    <definedName name="Checked010401" localSheetId="6">#REF!</definedName>
    <definedName name="Checked010401">#REF!</definedName>
    <definedName name="Checked010501" localSheetId="6">#REF!</definedName>
    <definedName name="Checked010501">#REF!</definedName>
    <definedName name="Checked010601" localSheetId="6">#REF!</definedName>
    <definedName name="Checked010601">#REF!</definedName>
    <definedName name="Checked010701" localSheetId="6">#REF!</definedName>
    <definedName name="Checked010701">#REF!</definedName>
    <definedName name="Checked010801" localSheetId="6">#REF!</definedName>
    <definedName name="Checked010801">#REF!</definedName>
    <definedName name="Checked010901" localSheetId="6">#REF!</definedName>
    <definedName name="Checked010901">#REF!</definedName>
    <definedName name="Checked011001" localSheetId="6">#REF!</definedName>
    <definedName name="Checked011001">#REF!</definedName>
    <definedName name="Checked011101" localSheetId="6">#REF!</definedName>
    <definedName name="Checked011101">#REF!</definedName>
    <definedName name="Checked011201" localSheetId="6">#REF!</definedName>
    <definedName name="Checked011201">#REF!</definedName>
    <definedName name="Checked011301" localSheetId="6">#REF!</definedName>
    <definedName name="Checked011301">#REF!</definedName>
    <definedName name="Checked011401" localSheetId="6">#REF!</definedName>
    <definedName name="Checked011401">#REF!</definedName>
    <definedName name="Checked011501" localSheetId="6">#REF!</definedName>
    <definedName name="Checked011501">#REF!</definedName>
    <definedName name="Checked011601" localSheetId="6">#REF!</definedName>
    <definedName name="Checked011601">#REF!</definedName>
    <definedName name="Checked011701" localSheetId="6">#REF!</definedName>
    <definedName name="Checked011701">#REF!</definedName>
    <definedName name="Checked011801" localSheetId="6">#REF!</definedName>
    <definedName name="Checked011801">#REF!</definedName>
    <definedName name="Checked011901" localSheetId="6">#REF!</definedName>
    <definedName name="Checked011901">#REF!</definedName>
    <definedName name="Checked012001" localSheetId="6">#REF!</definedName>
    <definedName name="Checked012001">#REF!</definedName>
    <definedName name="Checked012101" localSheetId="6">#REF!</definedName>
    <definedName name="Checked012101">#REF!</definedName>
    <definedName name="CR" localSheetId="6">#REF!</definedName>
    <definedName name="CR">#REF!</definedName>
    <definedName name="_xlnm.Criteria" localSheetId="6">#REF!</definedName>
    <definedName name="_xlnm.Criteria">#REF!</definedName>
    <definedName name="ＣＳ集計">[2]機械台帳!$B$6:$B$936</definedName>
    <definedName name="Distribution012001" localSheetId="6">#REF!</definedName>
    <definedName name="Distribution012001">#REF!</definedName>
    <definedName name="Distribution012101" localSheetId="6">#REF!</definedName>
    <definedName name="Distribution012101">#REF!</definedName>
    <definedName name="Distribution012201" localSheetId="6">#REF!</definedName>
    <definedName name="Distribution012201">#REF!</definedName>
    <definedName name="Distribution012301" localSheetId="6">#REF!</definedName>
    <definedName name="Distribution012301">#REF!</definedName>
    <definedName name="Distribution012401" localSheetId="6">#REF!</definedName>
    <definedName name="Distribution012401">#REF!</definedName>
    <definedName name="Distribution012501" localSheetId="6">#REF!</definedName>
    <definedName name="Distribution012501">#REF!</definedName>
    <definedName name="Distribution012601" localSheetId="6">#REF!</definedName>
    <definedName name="Distribution012601">#REF!</definedName>
    <definedName name="Distribution012701" localSheetId="6">#REF!</definedName>
    <definedName name="Distribution012701">#REF!</definedName>
    <definedName name="Distribution012801" localSheetId="6">#REF!</definedName>
    <definedName name="Distribution012801">#REF!</definedName>
    <definedName name="Distribution012901" localSheetId="6">#REF!</definedName>
    <definedName name="Distribution012901">#REF!</definedName>
    <definedName name="Distribution013001" localSheetId="6">#REF!</definedName>
    <definedName name="Distribution013001">#REF!</definedName>
    <definedName name="Distribution013101" localSheetId="6">#REF!</definedName>
    <definedName name="Distribution013101">#REF!</definedName>
    <definedName name="Distribution013201" localSheetId="6">#REF!</definedName>
    <definedName name="Distribution013201">#REF!</definedName>
    <definedName name="Distribution013301" localSheetId="6">#REF!</definedName>
    <definedName name="Distribution013301">#REF!</definedName>
    <definedName name="Distribution013401" localSheetId="6">#REF!</definedName>
    <definedName name="Distribution013401">#REF!</definedName>
    <definedName name="Distribution013501" localSheetId="6">#REF!</definedName>
    <definedName name="Distribution013501">#REF!</definedName>
    <definedName name="Distribution013601" localSheetId="6">#REF!</definedName>
    <definedName name="Distribution013601">#REF!</definedName>
    <definedName name="Distribution013701" localSheetId="6">#REF!</definedName>
    <definedName name="Distribution013701">#REF!</definedName>
    <definedName name="Distribution013801" localSheetId="6">#REF!</definedName>
    <definedName name="Distribution013801">#REF!</definedName>
    <definedName name="Distribution013901" localSheetId="6">#REF!</definedName>
    <definedName name="Distribution013901">#REF!</definedName>
    <definedName name="Distribution014001" localSheetId="6">#REF!</definedName>
    <definedName name="Distribution014001">#REF!</definedName>
    <definedName name="Distribution014101" localSheetId="6">#REF!</definedName>
    <definedName name="Distribution014101">#REF!</definedName>
    <definedName name="Distribution014201" localSheetId="6">#REF!</definedName>
    <definedName name="Distribution014201">#REF!</definedName>
    <definedName name="Distribution014301" localSheetId="6">#REF!</definedName>
    <definedName name="Distribution014301">#REF!</definedName>
    <definedName name="Distribution014401" localSheetId="6">#REF!</definedName>
    <definedName name="Distribution014401">#REF!</definedName>
    <definedName name="Distribution014501" localSheetId="6">#REF!</definedName>
    <definedName name="Distribution014501">#REF!</definedName>
    <definedName name="Distribution014601" localSheetId="6">#REF!</definedName>
    <definedName name="Distribution014601">#REF!</definedName>
    <definedName name="Distribution014701" localSheetId="6">#REF!</definedName>
    <definedName name="Distribution014701">#REF!</definedName>
    <definedName name="Distribution014801" localSheetId="6">#REF!</definedName>
    <definedName name="Distribution014801">#REF!</definedName>
    <definedName name="Distribution014901" localSheetId="6">#REF!</definedName>
    <definedName name="Distribution014901">#REF!</definedName>
    <definedName name="Distribution015001" localSheetId="6">#REF!</definedName>
    <definedName name="Distribution015001">#REF!</definedName>
    <definedName name="Distribution015101" localSheetId="6">#REF!</definedName>
    <definedName name="Distribution015101">#REF!</definedName>
    <definedName name="Distribution015201" localSheetId="6">#REF!</definedName>
    <definedName name="Distribution015201">#REF!</definedName>
    <definedName name="Distribution015301" localSheetId="6">#REF!</definedName>
    <definedName name="Distribution015301">#REF!</definedName>
    <definedName name="Distribution015401" localSheetId="6">#REF!</definedName>
    <definedName name="Distribution015401">#REF!</definedName>
    <definedName name="Distribution015501" localSheetId="6">#REF!</definedName>
    <definedName name="Distribution015501">#REF!</definedName>
    <definedName name="Distribution015601" localSheetId="6">#REF!</definedName>
    <definedName name="Distribution015601">#REF!</definedName>
    <definedName name="Distribution015701" localSheetId="6">#REF!</definedName>
    <definedName name="Distribution015701">#REF!</definedName>
    <definedName name="Distribution015801" localSheetId="6">#REF!</definedName>
    <definedName name="Distribution015801">#REF!</definedName>
    <definedName name="Distribution015901" localSheetId="6">#REF!</definedName>
    <definedName name="Distribution015901">#REF!</definedName>
    <definedName name="Distribution016001" localSheetId="6">#REF!</definedName>
    <definedName name="Distribution016001">#REF!</definedName>
    <definedName name="Distribution016101" localSheetId="6">#REF!</definedName>
    <definedName name="Distribution016101">#REF!</definedName>
    <definedName name="Distribution016201" localSheetId="6">#REF!</definedName>
    <definedName name="Distribution016201">#REF!</definedName>
    <definedName name="Distribution016301" localSheetId="6">#REF!</definedName>
    <definedName name="Distribution016301">#REF!</definedName>
    <definedName name="Distribution016401" localSheetId="6">#REF!</definedName>
    <definedName name="Distribution016401">#REF!</definedName>
    <definedName name="Distribution016501" localSheetId="6">#REF!</definedName>
    <definedName name="Distribution016501">#REF!</definedName>
    <definedName name="Distribution016601" localSheetId="6">#REF!</definedName>
    <definedName name="Distribution016601">#REF!</definedName>
    <definedName name="Distribution016701" localSheetId="6">#REF!</definedName>
    <definedName name="Distribution016701">#REF!</definedName>
    <definedName name="Distribution016801" localSheetId="6">#REF!</definedName>
    <definedName name="Distribution016801">#REF!</definedName>
    <definedName name="Distribution016901" localSheetId="6">#REF!</definedName>
    <definedName name="Distribution016901">#REF!</definedName>
    <definedName name="Distribution017001" localSheetId="6">#REF!</definedName>
    <definedName name="Distribution017001">#REF!</definedName>
    <definedName name="Distribution017101" localSheetId="6">#REF!</definedName>
    <definedName name="Distribution017101">#REF!</definedName>
    <definedName name="Distribution017201" localSheetId="6">#REF!</definedName>
    <definedName name="Distribution017201">#REF!</definedName>
    <definedName name="Distribution017301" localSheetId="6">#REF!</definedName>
    <definedName name="Distribution017301">#REF!</definedName>
    <definedName name="Distribution017401" localSheetId="6">#REF!</definedName>
    <definedName name="Distribution017401">#REF!</definedName>
    <definedName name="Distribution017501" localSheetId="6">#REF!</definedName>
    <definedName name="Distribution017501">#REF!</definedName>
    <definedName name="Distribution017601" localSheetId="6">#REF!</definedName>
    <definedName name="Distribution017601">#REF!</definedName>
    <definedName name="Distribution017701" localSheetId="6">#REF!</definedName>
    <definedName name="Distribution017701">#REF!</definedName>
    <definedName name="Distribution017801" localSheetId="6">#REF!</definedName>
    <definedName name="Distribution017801">#REF!</definedName>
    <definedName name="Distribution017901" localSheetId="6">#REF!</definedName>
    <definedName name="Distribution017901">#REF!</definedName>
    <definedName name="Distribution018001" localSheetId="6">#REF!</definedName>
    <definedName name="Distribution018001">#REF!</definedName>
    <definedName name="Distribution018101" localSheetId="6">#REF!</definedName>
    <definedName name="Distribution018101">#REF!</definedName>
    <definedName name="Distribution018201" localSheetId="6">#REF!</definedName>
    <definedName name="Distribution018201">#REF!</definedName>
    <definedName name="Distribution018301" localSheetId="6">#REF!</definedName>
    <definedName name="Distribution018301">#REF!</definedName>
    <definedName name="Distribution018401" localSheetId="6">#REF!</definedName>
    <definedName name="Distribution018401">#REF!</definedName>
    <definedName name="Distribution018501" localSheetId="6">#REF!</definedName>
    <definedName name="Distribution018501">#REF!</definedName>
    <definedName name="Distribution018601" localSheetId="6">#REF!</definedName>
    <definedName name="Distribution018601">#REF!</definedName>
    <definedName name="Distribution018701" localSheetId="6">#REF!</definedName>
    <definedName name="Distribution018701">#REF!</definedName>
    <definedName name="Distribution018801" localSheetId="6">#REF!</definedName>
    <definedName name="Distribution018801">#REF!</definedName>
    <definedName name="Distribution018901" localSheetId="6">#REF!</definedName>
    <definedName name="Distribution018901">#REF!</definedName>
    <definedName name="Distribution019001" localSheetId="6">#REF!</definedName>
    <definedName name="Distribution019001">#REF!</definedName>
    <definedName name="Distribution019101" localSheetId="6">#REF!</definedName>
    <definedName name="Distribution019101">#REF!</definedName>
    <definedName name="Distribution019201" localSheetId="6">#REF!</definedName>
    <definedName name="Distribution019201">#REF!</definedName>
    <definedName name="Distribution019301" localSheetId="6">#REF!</definedName>
    <definedName name="Distribution019301">#REF!</definedName>
    <definedName name="Distribution019401" localSheetId="6">#REF!</definedName>
    <definedName name="Distribution019401">#REF!</definedName>
    <definedName name="Distribution019501" localSheetId="6">#REF!</definedName>
    <definedName name="Distribution019501">#REF!</definedName>
    <definedName name="Distribution019601" localSheetId="6">#REF!</definedName>
    <definedName name="Distribution019601">#REF!</definedName>
    <definedName name="DivisionName010101" localSheetId="6">#REF!</definedName>
    <definedName name="DivisionName010101">#REF!</definedName>
    <definedName name="DocumentNo010101" localSheetId="6">#REF!</definedName>
    <definedName name="DocumentNo010101">#REF!</definedName>
    <definedName name="DocumentNo010102" localSheetId="6">#REF!</definedName>
    <definedName name="DocumentNo010102">#REF!</definedName>
    <definedName name="ee" localSheetId="6" hidden="1">#REF!</definedName>
    <definedName name="ee" hidden="1">#REF!</definedName>
    <definedName name="ESignDate010001" localSheetId="6">#REF!</definedName>
    <definedName name="ESignDate010001">#REF!</definedName>
    <definedName name="ESignDate010201" localSheetId="6">#REF!</definedName>
    <definedName name="ESignDate010201">#REF!</definedName>
    <definedName name="ESignDate010301" localSheetId="6">#REF!</definedName>
    <definedName name="ESignDate010301">#REF!</definedName>
    <definedName name="ESignDate010401" localSheetId="6">#REF!</definedName>
    <definedName name="ESignDate010401">#REF!</definedName>
    <definedName name="ESignDate010501" localSheetId="6">#REF!</definedName>
    <definedName name="ESignDate010501">#REF!</definedName>
    <definedName name="ESignDate010601" localSheetId="6">#REF!</definedName>
    <definedName name="ESignDate010601">#REF!</definedName>
    <definedName name="ESignDate010701" localSheetId="6">#REF!</definedName>
    <definedName name="ESignDate010701">#REF!</definedName>
    <definedName name="ESignDate010801" localSheetId="6">#REF!</definedName>
    <definedName name="ESignDate010801">#REF!</definedName>
    <definedName name="ESignDate010901" localSheetId="6">#REF!</definedName>
    <definedName name="ESignDate010901">#REF!</definedName>
    <definedName name="ESignDate011001" localSheetId="6">#REF!</definedName>
    <definedName name="ESignDate011001">#REF!</definedName>
    <definedName name="ESignDate011101" localSheetId="6">#REF!</definedName>
    <definedName name="ESignDate011101">#REF!</definedName>
    <definedName name="ESignDate011201" localSheetId="6">#REF!</definedName>
    <definedName name="ESignDate011201">#REF!</definedName>
    <definedName name="ESignDate011301" localSheetId="6">#REF!</definedName>
    <definedName name="ESignDate011301">#REF!</definedName>
    <definedName name="ESignDate011401" localSheetId="6">#REF!</definedName>
    <definedName name="ESignDate011401">#REF!</definedName>
    <definedName name="ESignDate011501" localSheetId="6">#REF!</definedName>
    <definedName name="ESignDate011501">#REF!</definedName>
    <definedName name="ESignDate011601" localSheetId="6">#REF!</definedName>
    <definedName name="ESignDate011601">#REF!</definedName>
    <definedName name="ESignDate011701" localSheetId="6">#REF!</definedName>
    <definedName name="ESignDate011701">#REF!</definedName>
    <definedName name="ESignDate011801" localSheetId="6">#REF!</definedName>
    <definedName name="ESignDate011801">#REF!</definedName>
    <definedName name="ESignDate011901" localSheetId="6">#REF!</definedName>
    <definedName name="ESignDate011901">#REF!</definedName>
    <definedName name="ESignDate012001" localSheetId="6">#REF!</definedName>
    <definedName name="ESignDate012001">#REF!</definedName>
    <definedName name="ESignDate012101" localSheetId="6">#REF!</definedName>
    <definedName name="ESignDate012101">#REF!</definedName>
    <definedName name="ESignUserDivision010101" localSheetId="6">#REF!</definedName>
    <definedName name="ESignUserDivision010101">#REF!</definedName>
    <definedName name="ESignUserDivision010201" localSheetId="6">#REF!</definedName>
    <definedName name="ESignUserDivision010201">#REF!</definedName>
    <definedName name="furyou_koumoku" localSheetId="6">#REF!</definedName>
    <definedName name="furyou_koumoku">#REF!</definedName>
    <definedName name="Issued010101" localSheetId="6">#REF!</definedName>
    <definedName name="Issued010101">#REF!</definedName>
    <definedName name="Issued010102" localSheetId="6">#REF!</definedName>
    <definedName name="Issued010102">#REF!</definedName>
    <definedName name="Issued010201" localSheetId="6">#REF!</definedName>
    <definedName name="Issued010201">#REF!</definedName>
    <definedName name="Issued010301" localSheetId="6">#REF!</definedName>
    <definedName name="Issued010301">#REF!</definedName>
    <definedName name="Issued010401" localSheetId="6">#REF!</definedName>
    <definedName name="Issued010401">#REF!</definedName>
    <definedName name="Issued010501" localSheetId="6">#REF!</definedName>
    <definedName name="Issued010501">#REF!</definedName>
    <definedName name="Issued010601" localSheetId="6">#REF!</definedName>
    <definedName name="Issued010601">#REF!</definedName>
    <definedName name="Issued010701" localSheetId="6">#REF!</definedName>
    <definedName name="Issued010701">#REF!</definedName>
    <definedName name="Issued010801" localSheetId="6">#REF!</definedName>
    <definedName name="Issued010801">#REF!</definedName>
    <definedName name="Issued010901" localSheetId="6">#REF!</definedName>
    <definedName name="Issued010901">#REF!</definedName>
    <definedName name="Issued011001" localSheetId="6">#REF!</definedName>
    <definedName name="Issued011001">#REF!</definedName>
    <definedName name="Issued011101" localSheetId="6">#REF!</definedName>
    <definedName name="Issued011101">#REF!</definedName>
    <definedName name="Issued011201" localSheetId="6">#REF!</definedName>
    <definedName name="Issued011201">#REF!</definedName>
    <definedName name="Issued011301" localSheetId="6">#REF!</definedName>
    <definedName name="Issued011301">#REF!</definedName>
    <definedName name="Issued011401" localSheetId="6">#REF!</definedName>
    <definedName name="Issued011401">#REF!</definedName>
    <definedName name="Issued011501" localSheetId="6">#REF!</definedName>
    <definedName name="Issued011501">#REF!</definedName>
    <definedName name="Issued011601" localSheetId="6">#REF!</definedName>
    <definedName name="Issued011601">#REF!</definedName>
    <definedName name="Issued011701" localSheetId="6">#REF!</definedName>
    <definedName name="Issued011701">#REF!</definedName>
    <definedName name="Issued011801" localSheetId="6">#REF!</definedName>
    <definedName name="Issued011801">#REF!</definedName>
    <definedName name="Issued011901" localSheetId="6">#REF!</definedName>
    <definedName name="Issued011901">#REF!</definedName>
    <definedName name="Issued012001" localSheetId="6">#REF!</definedName>
    <definedName name="Issued012001">#REF!</definedName>
    <definedName name="Issued012101" localSheetId="6">#REF!</definedName>
    <definedName name="Issued012101">#REF!</definedName>
    <definedName name="NCR">[3]車種ｺｰﾄﾞﾘｽﾄ!$B$3:$B$188</definedName>
    <definedName name="PartNumber010101" localSheetId="6">#REF!</definedName>
    <definedName name="PartNumber010101">#REF!</definedName>
    <definedName name="PartOPName010101" localSheetId="6">#REF!</definedName>
    <definedName name="PartOPName010101">#REF!</definedName>
    <definedName name="PK内製" localSheetId="6">#REF!</definedName>
    <definedName name="PK内製">#REF!</definedName>
    <definedName name="PPlan_Approved010101" localSheetId="6">#REF!</definedName>
    <definedName name="PPlan_Approved010101">#REF!</definedName>
    <definedName name="PPlan_Approved010201" localSheetId="6">#REF!</definedName>
    <definedName name="PPlan_Approved010201">#REF!</definedName>
    <definedName name="PPlan_Approved010301" localSheetId="6">#REF!</definedName>
    <definedName name="PPlan_Approved010301">#REF!</definedName>
    <definedName name="PPlan_Approved010401" localSheetId="6">#REF!</definedName>
    <definedName name="PPlan_Approved010401">#REF!</definedName>
    <definedName name="PPlan_Approved010501" localSheetId="6">#REF!</definedName>
    <definedName name="PPlan_Approved010501">#REF!</definedName>
    <definedName name="PPlan_Approved010601" localSheetId="6">#REF!</definedName>
    <definedName name="PPlan_Approved010601">#REF!</definedName>
    <definedName name="PPlan_Approved010701" localSheetId="6">#REF!</definedName>
    <definedName name="PPlan_Approved010701">#REF!</definedName>
    <definedName name="PPlan_Approved010801" localSheetId="6">#REF!</definedName>
    <definedName name="PPlan_Approved010801">#REF!</definedName>
    <definedName name="PPlan_Approved010901" localSheetId="6">#REF!</definedName>
    <definedName name="PPlan_Approved010901">#REF!</definedName>
    <definedName name="PPlan_Approved011001" localSheetId="6">#REF!</definedName>
    <definedName name="PPlan_Approved011001">#REF!</definedName>
    <definedName name="PPlan_Approved011101" localSheetId="6">#REF!</definedName>
    <definedName name="PPlan_Approved011101">#REF!</definedName>
    <definedName name="PPlan_Approved011201" localSheetId="6">#REF!</definedName>
    <definedName name="PPlan_Approved011201">#REF!</definedName>
    <definedName name="PPlan_Approved011301" localSheetId="6">#REF!</definedName>
    <definedName name="PPlan_Approved011301">#REF!</definedName>
    <definedName name="PPlan_Approved011401" localSheetId="6">#REF!</definedName>
    <definedName name="PPlan_Approved011401">#REF!</definedName>
    <definedName name="PPlan_Approved011501" localSheetId="6">#REF!</definedName>
    <definedName name="PPlan_Approved011501">#REF!</definedName>
    <definedName name="PPlan_Approved011601" localSheetId="6">#REF!</definedName>
    <definedName name="PPlan_Approved011601">#REF!</definedName>
    <definedName name="PPlan_Approved011701" localSheetId="6">#REF!</definedName>
    <definedName name="PPlan_Approved011701">#REF!</definedName>
    <definedName name="PPlan_Approved011801" localSheetId="6">#REF!</definedName>
    <definedName name="PPlan_Approved011801">#REF!</definedName>
    <definedName name="PPlan_Approved011901" localSheetId="6">#REF!</definedName>
    <definedName name="PPlan_Approved011901">#REF!</definedName>
    <definedName name="PPlan_Approved012001" localSheetId="6">#REF!</definedName>
    <definedName name="PPlan_Approved012001">#REF!</definedName>
    <definedName name="PPlan_Approved012101" localSheetId="6">#REF!</definedName>
    <definedName name="PPlan_Approved012101">#REF!</definedName>
    <definedName name="_xlnm.Print_Area">#REF!</definedName>
    <definedName name="_xlnm.Print_Titles" localSheetId="6">'05.01様式3-10-2 (JP VN)'!$16:$17</definedName>
    <definedName name="_xlnm.Print_Titles" localSheetId="8">'06_01.Yêu cầu năng lực_スキル要件'!$5:$5</definedName>
    <definedName name="_xlnm.Print_Titles" localSheetId="7">'06_Ke_hoach_dao_tao'!$12:$12</definedName>
    <definedName name="Proc_Approved010101" localSheetId="6">#REF!</definedName>
    <definedName name="Proc_Approved010101">#REF!</definedName>
    <definedName name="Proc_Approved010201" localSheetId="6">#REF!</definedName>
    <definedName name="Proc_Approved010201">#REF!</definedName>
    <definedName name="Proc_Approved010301" localSheetId="6">#REF!</definedName>
    <definedName name="Proc_Approved010301">#REF!</definedName>
    <definedName name="Proc_Approved010401" localSheetId="6">#REF!</definedName>
    <definedName name="Proc_Approved010401">#REF!</definedName>
    <definedName name="Proc_Approved010501" localSheetId="6">#REF!</definedName>
    <definedName name="Proc_Approved010501">#REF!</definedName>
    <definedName name="Proc_Approved010601" localSheetId="6">#REF!</definedName>
    <definedName name="Proc_Approved010601">#REF!</definedName>
    <definedName name="Proc_Approved010701" localSheetId="6">#REF!</definedName>
    <definedName name="Proc_Approved010701">#REF!</definedName>
    <definedName name="Proc_Approved010801" localSheetId="6">#REF!</definedName>
    <definedName name="Proc_Approved010801">#REF!</definedName>
    <definedName name="Proc_Approved010901" localSheetId="6">#REF!</definedName>
    <definedName name="Proc_Approved010901">#REF!</definedName>
    <definedName name="Proc_Approved011001" localSheetId="6">#REF!</definedName>
    <definedName name="Proc_Approved011001">#REF!</definedName>
    <definedName name="Proc_Approved011101" localSheetId="6">#REF!</definedName>
    <definedName name="Proc_Approved011101">#REF!</definedName>
    <definedName name="Proc_Approved011201" localSheetId="6">#REF!</definedName>
    <definedName name="Proc_Approved011201">#REF!</definedName>
    <definedName name="Proc_Approved011301" localSheetId="6">#REF!</definedName>
    <definedName name="Proc_Approved011301">#REF!</definedName>
    <definedName name="Proc_Approved011401" localSheetId="6">#REF!</definedName>
    <definedName name="Proc_Approved011401">#REF!</definedName>
    <definedName name="Proc_Approved011501" localSheetId="6">#REF!</definedName>
    <definedName name="Proc_Approved011501">#REF!</definedName>
    <definedName name="Proc_Approved011601" localSheetId="6">#REF!</definedName>
    <definedName name="Proc_Approved011601">#REF!</definedName>
    <definedName name="Proc_Approved011701" localSheetId="6">#REF!</definedName>
    <definedName name="Proc_Approved011701">#REF!</definedName>
    <definedName name="Proc_Approved011801" localSheetId="6">#REF!</definedName>
    <definedName name="Proc_Approved011801">#REF!</definedName>
    <definedName name="Proc_Approved011901" localSheetId="6">#REF!</definedName>
    <definedName name="Proc_Approved011901">#REF!</definedName>
    <definedName name="Proc_Approved012001" localSheetId="6">#REF!</definedName>
    <definedName name="Proc_Approved012001">#REF!</definedName>
    <definedName name="Proc_Approved012101" localSheetId="6">#REF!</definedName>
    <definedName name="Proc_Approved012101">#REF!</definedName>
    <definedName name="QA_Approved010101" localSheetId="6">#REF!</definedName>
    <definedName name="QA_Approved010101">#REF!</definedName>
    <definedName name="QA_Approved010201" localSheetId="6">#REF!</definedName>
    <definedName name="QA_Approved010201">#REF!</definedName>
    <definedName name="QA_Approved010301" localSheetId="6">#REF!</definedName>
    <definedName name="QA_Approved010301">#REF!</definedName>
    <definedName name="QA_Approved010401" localSheetId="6">#REF!</definedName>
    <definedName name="QA_Approved010401">#REF!</definedName>
    <definedName name="QA_Approved010501" localSheetId="6">#REF!</definedName>
    <definedName name="QA_Approved010501">#REF!</definedName>
    <definedName name="QA_Approved010601" localSheetId="6">#REF!</definedName>
    <definedName name="QA_Approved010601">#REF!</definedName>
    <definedName name="QA_Approved010701" localSheetId="6">#REF!</definedName>
    <definedName name="QA_Approved010701">#REF!</definedName>
    <definedName name="QA_Approved010801" localSheetId="6">#REF!</definedName>
    <definedName name="QA_Approved010801">#REF!</definedName>
    <definedName name="QA_Approved010901" localSheetId="6">#REF!</definedName>
    <definedName name="QA_Approved010901">#REF!</definedName>
    <definedName name="QA_Approved011001" localSheetId="6">#REF!</definedName>
    <definedName name="QA_Approved011001">#REF!</definedName>
    <definedName name="QA_Approved011101" localSheetId="6">#REF!</definedName>
    <definedName name="QA_Approved011101">#REF!</definedName>
    <definedName name="QA_Approved011201" localSheetId="6">#REF!</definedName>
    <definedName name="QA_Approved011201">#REF!</definedName>
    <definedName name="QA_Approved011301" localSheetId="6">#REF!</definedName>
    <definedName name="QA_Approved011301">#REF!</definedName>
    <definedName name="QA_Approved011401" localSheetId="6">#REF!</definedName>
    <definedName name="QA_Approved011401">#REF!</definedName>
    <definedName name="QA_Approved011501" localSheetId="6">#REF!</definedName>
    <definedName name="QA_Approved011501">#REF!</definedName>
    <definedName name="QA_Approved011601" localSheetId="6">#REF!</definedName>
    <definedName name="QA_Approved011601">#REF!</definedName>
    <definedName name="QA_Approved011701" localSheetId="6">#REF!</definedName>
    <definedName name="QA_Approved011701">#REF!</definedName>
    <definedName name="QA_Approved011801" localSheetId="6">#REF!</definedName>
    <definedName name="QA_Approved011801">#REF!</definedName>
    <definedName name="QA_Approved011901" localSheetId="6">#REF!</definedName>
    <definedName name="QA_Approved011901">#REF!</definedName>
    <definedName name="QA_Approved012001" localSheetId="6">#REF!</definedName>
    <definedName name="QA_Approved012001">#REF!</definedName>
    <definedName name="QA_Approved012101" localSheetId="6">#REF!</definedName>
    <definedName name="QA_Approved012101">#REF!</definedName>
    <definedName name="qqqqqefggh" localSheetId="6" hidden="1">#REF!</definedName>
    <definedName name="qqqqqefggh" hidden="1">#REF!</definedName>
    <definedName name="Q年推移表" localSheetId="6">#REF!</definedName>
    <definedName name="Q年推移表">#REF!</definedName>
    <definedName name="SDEL_Approved010101" localSheetId="6">#REF!</definedName>
    <definedName name="SDEL_Approved010101">#REF!</definedName>
    <definedName name="SDEL_Approved010201" localSheetId="6">#REF!</definedName>
    <definedName name="SDEL_Approved010201">#REF!</definedName>
    <definedName name="SDEL_Approved010301" localSheetId="6">#REF!</definedName>
    <definedName name="SDEL_Approved010301">#REF!</definedName>
    <definedName name="SDEL_Approved010401" localSheetId="6">#REF!</definedName>
    <definedName name="SDEL_Approved010401">#REF!</definedName>
    <definedName name="SDEL_Approved010501" localSheetId="6">#REF!</definedName>
    <definedName name="SDEL_Approved010501">#REF!</definedName>
    <definedName name="SDEL_Approved010601" localSheetId="6">#REF!</definedName>
    <definedName name="SDEL_Approved010601">#REF!</definedName>
    <definedName name="SDEL_Approved010701" localSheetId="6">#REF!</definedName>
    <definedName name="SDEL_Approved010701">#REF!</definedName>
    <definedName name="SDEL_Approved010801" localSheetId="6">#REF!</definedName>
    <definedName name="SDEL_Approved010801">#REF!</definedName>
    <definedName name="SDEL_Approved010901" localSheetId="6">#REF!</definedName>
    <definedName name="SDEL_Approved010901">#REF!</definedName>
    <definedName name="SDEL_Approved011001" localSheetId="6">#REF!</definedName>
    <definedName name="SDEL_Approved011001">#REF!</definedName>
    <definedName name="SDEL_Approved011101" localSheetId="6">#REF!</definedName>
    <definedName name="SDEL_Approved011101">#REF!</definedName>
    <definedName name="SDEL_Approved011201" localSheetId="6">#REF!</definedName>
    <definedName name="SDEL_Approved011201">#REF!</definedName>
    <definedName name="SDEL_Approved011301" localSheetId="6">#REF!</definedName>
    <definedName name="SDEL_Approved011301">#REF!</definedName>
    <definedName name="SDEL_Approved011401" localSheetId="6">#REF!</definedName>
    <definedName name="SDEL_Approved011401">#REF!</definedName>
    <definedName name="SDEL_Approved011501" localSheetId="6">#REF!</definedName>
    <definedName name="SDEL_Approved011501">#REF!</definedName>
    <definedName name="SDEL_Approved011601" localSheetId="6">#REF!</definedName>
    <definedName name="SDEL_Approved011601">#REF!</definedName>
    <definedName name="SDEL_Approved011801" localSheetId="6">#REF!</definedName>
    <definedName name="SDEL_Approved011801">#REF!</definedName>
    <definedName name="SDEL_Approved012001" localSheetId="6">#REF!</definedName>
    <definedName name="SDEL_Approved012001">#REF!</definedName>
    <definedName name="SDEL_Approved012101" localSheetId="6">#REF!</definedName>
    <definedName name="SDEL_Approved012101">#REF!</definedName>
    <definedName name="UsagePartCADCode010201" localSheetId="6">#REF!</definedName>
    <definedName name="UsagePartCADCode010201">#REF!</definedName>
    <definedName name="UsagePartCADCode010301" localSheetId="6">#REF!</definedName>
    <definedName name="UsagePartCADCode010301">#REF!</definedName>
    <definedName name="UsagePartCADCode010401" localSheetId="6">#REF!</definedName>
    <definedName name="UsagePartCADCode010401">#REF!</definedName>
    <definedName name="UsagePartCADCode010501" localSheetId="6">#REF!</definedName>
    <definedName name="UsagePartCADCode010501">#REF!</definedName>
    <definedName name="UsagePartCADCode010601" localSheetId="6">#REF!</definedName>
    <definedName name="UsagePartCADCode010601">#REF!</definedName>
    <definedName name="UsagePartCADCode010701" localSheetId="6">#REF!</definedName>
    <definedName name="UsagePartCADCode010701">#REF!</definedName>
    <definedName name="UsagePartCADCode010801" localSheetId="6">#REF!</definedName>
    <definedName name="UsagePartCADCode010801">#REF!</definedName>
    <definedName name="UsagePartCADCode010901" localSheetId="6">#REF!</definedName>
    <definedName name="UsagePartCADCode010901">#REF!</definedName>
    <definedName name="UsagePartCADCode011001" localSheetId="6">#REF!</definedName>
    <definedName name="UsagePartCADCode011001">#REF!</definedName>
    <definedName name="UsagePartCADCode011101" localSheetId="6">#REF!</definedName>
    <definedName name="UsagePartCADCode011101">#REF!</definedName>
    <definedName name="UsagePartCADCode011201" localSheetId="6">#REF!</definedName>
    <definedName name="UsagePartCADCode011201">#REF!</definedName>
    <definedName name="UsagePartCADCode011301" localSheetId="6">#REF!</definedName>
    <definedName name="UsagePartCADCode011301">#REF!</definedName>
    <definedName name="UsagePartCADCode011401" localSheetId="6">#REF!</definedName>
    <definedName name="UsagePartCADCode011401">#REF!</definedName>
    <definedName name="UsagePartCADCode011501" localSheetId="6">#REF!</definedName>
    <definedName name="UsagePartCADCode011501">#REF!</definedName>
    <definedName name="UsagePartCADCode011601" localSheetId="6">#REF!</definedName>
    <definedName name="UsagePartCADCode011601">#REF!</definedName>
    <definedName name="UsagePartCADCode011701" localSheetId="6">#REF!</definedName>
    <definedName name="UsagePartCADCode011701">#REF!</definedName>
    <definedName name="UsagePartCADCode011801" localSheetId="6">#REF!</definedName>
    <definedName name="UsagePartCADCode011801">#REF!</definedName>
    <definedName name="UsagePartCADCode011901" localSheetId="6">#REF!</definedName>
    <definedName name="UsagePartCADCode011901">#REF!</definedName>
    <definedName name="UsagePartCADCode012001" localSheetId="6">#REF!</definedName>
    <definedName name="UsagePartCADCode012001">#REF!</definedName>
    <definedName name="UsagePartCADCode012101" localSheetId="6">#REF!</definedName>
    <definedName name="UsagePartCADCode012101">#REF!</definedName>
    <definedName name="UsagePartCADCode012201" localSheetId="6">#REF!</definedName>
    <definedName name="UsagePartCADCode012201">#REF!</definedName>
    <definedName name="UsagePartCADCode012301" localSheetId="6">#REF!</definedName>
    <definedName name="UsagePartCADCode012301">#REF!</definedName>
    <definedName name="UsagePartCADCode012401" localSheetId="6">#REF!</definedName>
    <definedName name="UsagePartCADCode012401">#REF!</definedName>
    <definedName name="UsagePartCADCode012501" localSheetId="6">#REF!</definedName>
    <definedName name="UsagePartCADCode012501">#REF!</definedName>
    <definedName name="UsagePartCADCode012601" localSheetId="6">#REF!</definedName>
    <definedName name="UsagePartCADCode012601">#REF!</definedName>
    <definedName name="UsagePartCADCode012701" localSheetId="6">#REF!</definedName>
    <definedName name="UsagePartCADCode012701">#REF!</definedName>
    <definedName name="UsagePartCADCode012801" localSheetId="6">#REF!</definedName>
    <definedName name="UsagePartCADCode012801">#REF!</definedName>
    <definedName name="UsagePartCADCode012901" localSheetId="6">#REF!</definedName>
    <definedName name="UsagePartCADCode012901">#REF!</definedName>
    <definedName name="UsagePartCADCode013001" localSheetId="6">#REF!</definedName>
    <definedName name="UsagePartCADCode013001">#REF!</definedName>
    <definedName name="UsagePartCADCode013101" localSheetId="6">#REF!</definedName>
    <definedName name="UsagePartCADCode013101">#REF!</definedName>
    <definedName name="UsagePartCADCode013201" localSheetId="6">#REF!</definedName>
    <definedName name="UsagePartCADCode013201">#REF!</definedName>
    <definedName name="UsagePartCADCode013301" localSheetId="6">#REF!</definedName>
    <definedName name="UsagePartCADCode013301">#REF!</definedName>
    <definedName name="UsagePartCADCode013401" localSheetId="6">#REF!</definedName>
    <definedName name="UsagePartCADCode013401">#REF!</definedName>
    <definedName name="UsagePartCADCode013501" localSheetId="6">#REF!</definedName>
    <definedName name="UsagePartCADCode013501">#REF!</definedName>
    <definedName name="UsagePartCADCode013601" localSheetId="6">#REF!</definedName>
    <definedName name="UsagePartCADCode013601">#REF!</definedName>
    <definedName name="UsagePartCADCode013701" localSheetId="6">#REF!</definedName>
    <definedName name="UsagePartCADCode013701">#REF!</definedName>
    <definedName name="UsagePartCADCode013801" localSheetId="6">#REF!</definedName>
    <definedName name="UsagePartCADCode013801">#REF!</definedName>
    <definedName name="UsagePartCADCode013901" localSheetId="6">#REF!</definedName>
    <definedName name="UsagePartCADCode013901">#REF!</definedName>
    <definedName name="UsagePartCADCode014001" localSheetId="6">#REF!</definedName>
    <definedName name="UsagePartCADCode014001">#REF!</definedName>
    <definedName name="UsagePartCADCode014101" localSheetId="6">#REF!</definedName>
    <definedName name="UsagePartCADCode014101">#REF!</definedName>
    <definedName name="UsagePartCADCode014201" localSheetId="6">#REF!</definedName>
    <definedName name="UsagePartCADCode014201">#REF!</definedName>
    <definedName name="UsagePartCADCode014301" localSheetId="6">#REF!</definedName>
    <definedName name="UsagePartCADCode014301">#REF!</definedName>
    <definedName name="UsagePartCADCode014401" localSheetId="6">#REF!</definedName>
    <definedName name="UsagePartCADCode014401">#REF!</definedName>
    <definedName name="UsagePartCADCode014501" localSheetId="6">#REF!</definedName>
    <definedName name="UsagePartCADCode014501">#REF!</definedName>
    <definedName name="UsagePartCADCode014601" localSheetId="6">#REF!</definedName>
    <definedName name="UsagePartCADCode014601">#REF!</definedName>
    <definedName name="UsagePartCADCode014701" localSheetId="6">#REF!</definedName>
    <definedName name="UsagePartCADCode014701">#REF!</definedName>
    <definedName name="UsagePartCADCode014801" localSheetId="6">#REF!</definedName>
    <definedName name="UsagePartCADCode014801">#REF!</definedName>
    <definedName name="UsagePartCADCode014901" localSheetId="6">#REF!</definedName>
    <definedName name="UsagePartCADCode014901">#REF!</definedName>
    <definedName name="UsagePartCADCode015001" localSheetId="6">#REF!</definedName>
    <definedName name="UsagePartCADCode015001">#REF!</definedName>
    <definedName name="UsagePartCADCode015101" localSheetId="6">#REF!</definedName>
    <definedName name="UsagePartCADCode015101">#REF!</definedName>
    <definedName name="UsagePartCADCode015201" localSheetId="6">#REF!</definedName>
    <definedName name="UsagePartCADCode015201">#REF!</definedName>
    <definedName name="UsagePartCADCode015301" localSheetId="6">#REF!</definedName>
    <definedName name="UsagePartCADCode015301">#REF!</definedName>
    <definedName name="UsagePartCADCode015401" localSheetId="6">#REF!</definedName>
    <definedName name="UsagePartCADCode015401">#REF!</definedName>
    <definedName name="UsagePartCADCode015501" localSheetId="6">#REF!</definedName>
    <definedName name="UsagePartCADCode015501">#REF!</definedName>
    <definedName name="UsagePartCADCode015601" localSheetId="6">#REF!</definedName>
    <definedName name="UsagePartCADCode015601">#REF!</definedName>
    <definedName name="UsagePartCADCode015701" localSheetId="6">#REF!</definedName>
    <definedName name="UsagePartCADCode015701">#REF!</definedName>
    <definedName name="UsagePartCADCode015801" localSheetId="6">#REF!</definedName>
    <definedName name="UsagePartCADCode015801">#REF!</definedName>
    <definedName name="UsagePartCADCode015901" localSheetId="6">#REF!</definedName>
    <definedName name="UsagePartCADCode015901">#REF!</definedName>
    <definedName name="UsagePartCADCode016001" localSheetId="6">#REF!</definedName>
    <definedName name="UsagePartCADCode016001">#REF!</definedName>
    <definedName name="UsagePartCADCode016101" localSheetId="6">#REF!</definedName>
    <definedName name="UsagePartCADCode016101">#REF!</definedName>
    <definedName name="UsagePartCADCode016201" localSheetId="6">#REF!</definedName>
    <definedName name="UsagePartCADCode016201">#REF!</definedName>
    <definedName name="UsagePartCADCode016301" localSheetId="6">#REF!</definedName>
    <definedName name="UsagePartCADCode016301">#REF!</definedName>
    <definedName name="UsagePartCADCode016401" localSheetId="6">#REF!</definedName>
    <definedName name="UsagePartCADCode016401">#REF!</definedName>
    <definedName name="UsagePartCADCode016501" localSheetId="6">#REF!</definedName>
    <definedName name="UsagePartCADCode016501">#REF!</definedName>
    <definedName name="UsagePartCADCode016601" localSheetId="6">#REF!</definedName>
    <definedName name="UsagePartCADCode016601">#REF!</definedName>
    <definedName name="UsagePartCADCode016701" localSheetId="6">#REF!</definedName>
    <definedName name="UsagePartCADCode016701">#REF!</definedName>
    <definedName name="UsagePartCADCode016801" localSheetId="6">#REF!</definedName>
    <definedName name="UsagePartCADCode016801">#REF!</definedName>
    <definedName name="UsagePartCADCode016901" localSheetId="6">#REF!</definedName>
    <definedName name="UsagePartCADCode016901">#REF!</definedName>
    <definedName name="UsagePartCADCode017001" localSheetId="6">#REF!</definedName>
    <definedName name="UsagePartCADCode017001">#REF!</definedName>
    <definedName name="UsagePartCADCode017101" localSheetId="6">#REF!</definedName>
    <definedName name="UsagePartCADCode017101">#REF!</definedName>
    <definedName name="UsagePartCADCode017201" localSheetId="6">#REF!</definedName>
    <definedName name="UsagePartCADCode017201">#REF!</definedName>
    <definedName name="UsagePartCADCode017301" localSheetId="6">#REF!</definedName>
    <definedName name="UsagePartCADCode017301">#REF!</definedName>
    <definedName name="UsagePartCADCode017401" localSheetId="6">#REF!</definedName>
    <definedName name="UsagePartCADCode017401">#REF!</definedName>
    <definedName name="UsagePartCADCode017501" localSheetId="6">#REF!</definedName>
    <definedName name="UsagePartCADCode017501">#REF!</definedName>
    <definedName name="UsagePartCADCode017601" localSheetId="6">#REF!</definedName>
    <definedName name="UsagePartCADCode017601">#REF!</definedName>
    <definedName name="UsagePartCADCode017701" localSheetId="6">#REF!</definedName>
    <definedName name="UsagePartCADCode017701">#REF!</definedName>
    <definedName name="UsagePartCADCode017801" localSheetId="6">#REF!</definedName>
    <definedName name="UsagePartCADCode017801">#REF!</definedName>
    <definedName name="UsagePartCADCode017901" localSheetId="6">#REF!</definedName>
    <definedName name="UsagePartCADCode017901">#REF!</definedName>
    <definedName name="UsagePartCADCode018001" localSheetId="6">#REF!</definedName>
    <definedName name="UsagePartCADCode018001">#REF!</definedName>
    <definedName name="UsagePartCADCode018101" localSheetId="6">#REF!</definedName>
    <definedName name="UsagePartCADCode018101">#REF!</definedName>
    <definedName name="UsagePartCADCode018201" localSheetId="6">#REF!</definedName>
    <definedName name="UsagePartCADCode018201">#REF!</definedName>
    <definedName name="UsagePartCADCode018301" localSheetId="6">#REF!</definedName>
    <definedName name="UsagePartCADCode018301">#REF!</definedName>
    <definedName name="UsagePartCADCode018401" localSheetId="6">#REF!</definedName>
    <definedName name="UsagePartCADCode018401">#REF!</definedName>
    <definedName name="UsagePartCADCode018501" localSheetId="6">#REF!</definedName>
    <definedName name="UsagePartCADCode018501">#REF!</definedName>
    <definedName name="UsagePartCADCode018601" localSheetId="6">#REF!</definedName>
    <definedName name="UsagePartCADCode018601">#REF!</definedName>
    <definedName name="UsagePartCADCode018701" localSheetId="6">#REF!</definedName>
    <definedName name="UsagePartCADCode018701">#REF!</definedName>
    <definedName name="UsagePartCADCode018801" localSheetId="6">#REF!</definedName>
    <definedName name="UsagePartCADCode018801">#REF!</definedName>
    <definedName name="UsagePartCADCode018901" localSheetId="6">#REF!</definedName>
    <definedName name="UsagePartCADCode018901">#REF!</definedName>
    <definedName name="UsagePartCADCode019001" localSheetId="6">#REF!</definedName>
    <definedName name="UsagePartCADCode019001">#REF!</definedName>
    <definedName name="UsagePartCADCode019101" localSheetId="6">#REF!</definedName>
    <definedName name="UsagePartCADCode019101">#REF!</definedName>
    <definedName name="UsagePartCADCode019201" localSheetId="6">#REF!</definedName>
    <definedName name="UsagePartCADCode019201">#REF!</definedName>
    <definedName name="UsagePartCADCode019301" localSheetId="6">#REF!</definedName>
    <definedName name="UsagePartCADCode019301">#REF!</definedName>
    <definedName name="UsagePartCADCode019401" localSheetId="6">#REF!</definedName>
    <definedName name="UsagePartCADCode019401">#REF!</definedName>
    <definedName name="UsagePartCADCode019501" localSheetId="6">#REF!</definedName>
    <definedName name="UsagePartCADCode019501">#REF!</definedName>
    <definedName name="UsagePartCADCode019601" localSheetId="6">#REF!</definedName>
    <definedName name="UsagePartCADCode019601">#REF!</definedName>
    <definedName name="UsagePartCADCode019701" localSheetId="6">#REF!</definedName>
    <definedName name="UsagePartCADCode019701">#REF!</definedName>
    <definedName name="UsagePartCADCode019801" localSheetId="6">#REF!</definedName>
    <definedName name="UsagePartCADCode019801">#REF!</definedName>
    <definedName name="UsagePartCADCode019901" localSheetId="6">#REF!</definedName>
    <definedName name="UsagePartCADCode019901">#REF!</definedName>
    <definedName name="UsagePartName010101" localSheetId="6">#REF!</definedName>
    <definedName name="UsagePartName010101">#REF!</definedName>
    <definedName name="UsagePartName010201" localSheetId="6">#REF!</definedName>
    <definedName name="UsagePartName010201">#REF!</definedName>
    <definedName name="UsagePartName010301" localSheetId="6">#REF!</definedName>
    <definedName name="UsagePartName010301">#REF!</definedName>
    <definedName name="UsagePartName010401" localSheetId="6">#REF!</definedName>
    <definedName name="UsagePartName010401">#REF!</definedName>
    <definedName name="UsagePartName010501" localSheetId="6">#REF!</definedName>
    <definedName name="UsagePartName010501">#REF!</definedName>
    <definedName name="UsagePartName010601" localSheetId="6">#REF!</definedName>
    <definedName name="UsagePartName010601">#REF!</definedName>
    <definedName name="UsagePartName010701" localSheetId="6">#REF!</definedName>
    <definedName name="UsagePartName010701">#REF!</definedName>
    <definedName name="UsagePartName010801" localSheetId="6">#REF!</definedName>
    <definedName name="UsagePartName010801">#REF!</definedName>
    <definedName name="UsagePartName010901" localSheetId="6">#REF!</definedName>
    <definedName name="UsagePartName010901">#REF!</definedName>
    <definedName name="UsagePartName011001" localSheetId="6">#REF!</definedName>
    <definedName name="UsagePartName011001">#REF!</definedName>
    <definedName name="UsagePartName011101" localSheetId="6">#REF!</definedName>
    <definedName name="UsagePartName011101">#REF!</definedName>
    <definedName name="UsagePartName011201" localSheetId="6">#REF!</definedName>
    <definedName name="UsagePartName011201">#REF!</definedName>
    <definedName name="UsagePartName011301" localSheetId="6">#REF!</definedName>
    <definedName name="UsagePartName011301">#REF!</definedName>
    <definedName name="UsagePartName011401" localSheetId="6">#REF!</definedName>
    <definedName name="UsagePartName011401">#REF!</definedName>
    <definedName name="UsagePartName011501" localSheetId="6">#REF!</definedName>
    <definedName name="UsagePartName011501">#REF!</definedName>
    <definedName name="UsagePartName011601" localSheetId="6">#REF!</definedName>
    <definedName name="UsagePartName011601">#REF!</definedName>
    <definedName name="UsagePartName011701" localSheetId="6">#REF!</definedName>
    <definedName name="UsagePartName011701">#REF!</definedName>
    <definedName name="UsagePartName011801" localSheetId="6">#REF!</definedName>
    <definedName name="UsagePartName011801">#REF!</definedName>
    <definedName name="UsagePartName011901" localSheetId="6">#REF!</definedName>
    <definedName name="UsagePartName011901">#REF!</definedName>
    <definedName name="UsagePartName012001" localSheetId="6">#REF!</definedName>
    <definedName name="UsagePartName012001">#REF!</definedName>
    <definedName name="UsagePartName012101" localSheetId="6">#REF!</definedName>
    <definedName name="UsagePartName012101">#REF!</definedName>
    <definedName name="UsagePartName012201" localSheetId="6">#REF!</definedName>
    <definedName name="UsagePartName012201">#REF!</definedName>
    <definedName name="UsagePartName012301" localSheetId="6">#REF!</definedName>
    <definedName name="UsagePartName012301">#REF!</definedName>
    <definedName name="UsagePartName012401" localSheetId="6">#REF!</definedName>
    <definedName name="UsagePartName012401">#REF!</definedName>
    <definedName name="UsagePartName012501" localSheetId="6">#REF!</definedName>
    <definedName name="UsagePartName012501">#REF!</definedName>
    <definedName name="UsagePartName012601" localSheetId="6">#REF!</definedName>
    <definedName name="UsagePartName012601">#REF!</definedName>
    <definedName name="UsagePartName012701" localSheetId="6">#REF!</definedName>
    <definedName name="UsagePartName012701">#REF!</definedName>
    <definedName name="UsagePartName012801" localSheetId="6">#REF!</definedName>
    <definedName name="UsagePartName012801">#REF!</definedName>
    <definedName name="UsagePartName012901" localSheetId="6">#REF!</definedName>
    <definedName name="UsagePartName012901">#REF!</definedName>
    <definedName name="UsagePartName013001" localSheetId="6">#REF!</definedName>
    <definedName name="UsagePartName013001">#REF!</definedName>
    <definedName name="UsagePartName013101" localSheetId="6">#REF!</definedName>
    <definedName name="UsagePartName013101">#REF!</definedName>
    <definedName name="UsagePartName013201" localSheetId="6">#REF!</definedName>
    <definedName name="UsagePartName013201">#REF!</definedName>
    <definedName name="UsagePartName013301" localSheetId="6">#REF!</definedName>
    <definedName name="UsagePartName013301">#REF!</definedName>
    <definedName name="UsagePartName013401" localSheetId="6">#REF!</definedName>
    <definedName name="UsagePartName013401">#REF!</definedName>
    <definedName name="UsagePartName013501" localSheetId="6">#REF!</definedName>
    <definedName name="UsagePartName013501">#REF!</definedName>
    <definedName name="UsagePartName013601" localSheetId="6">#REF!</definedName>
    <definedName name="UsagePartName013601">#REF!</definedName>
    <definedName name="UsagePartName013701" localSheetId="6">#REF!</definedName>
    <definedName name="UsagePartName013701">#REF!</definedName>
    <definedName name="UsagePartName013801" localSheetId="6">#REF!</definedName>
    <definedName name="UsagePartName013801">#REF!</definedName>
    <definedName name="UsagePartName013901" localSheetId="6">#REF!</definedName>
    <definedName name="UsagePartName013901">#REF!</definedName>
    <definedName name="UsagePartName014001" localSheetId="6">#REF!</definedName>
    <definedName name="UsagePartName014001">#REF!</definedName>
    <definedName name="UsagePartName014101" localSheetId="6">#REF!</definedName>
    <definedName name="UsagePartName014101">#REF!</definedName>
    <definedName name="UsagePartName014201" localSheetId="6">#REF!</definedName>
    <definedName name="UsagePartName014201">#REF!</definedName>
    <definedName name="UsagePartName014301" localSheetId="6">#REF!</definedName>
    <definedName name="UsagePartName014301">#REF!</definedName>
    <definedName name="UsagePartName014401" localSheetId="6">#REF!</definedName>
    <definedName name="UsagePartName014401">#REF!</definedName>
    <definedName name="UsagePartName014501" localSheetId="6">#REF!</definedName>
    <definedName name="UsagePartName014501">#REF!</definedName>
    <definedName name="UsagePartName014601" localSheetId="6">#REF!</definedName>
    <definedName name="UsagePartName014601">#REF!</definedName>
    <definedName name="UsagePartName014701" localSheetId="6">#REF!</definedName>
    <definedName name="UsagePartName014701">#REF!</definedName>
    <definedName name="UsagePartName014801" localSheetId="6">#REF!</definedName>
    <definedName name="UsagePartName014801">#REF!</definedName>
    <definedName name="UsagePartName014901" localSheetId="6">#REF!</definedName>
    <definedName name="UsagePartName014901">#REF!</definedName>
    <definedName name="UsagePartName015001" localSheetId="6">#REF!</definedName>
    <definedName name="UsagePartName015001">#REF!</definedName>
    <definedName name="UsagePartName015101" localSheetId="6">#REF!</definedName>
    <definedName name="UsagePartName015101">#REF!</definedName>
    <definedName name="UsagePartName015201" localSheetId="6">#REF!</definedName>
    <definedName name="UsagePartName015201">#REF!</definedName>
    <definedName name="UsagePartName015301" localSheetId="6">#REF!</definedName>
    <definedName name="UsagePartName015301">#REF!</definedName>
    <definedName name="UsagePartName015401" localSheetId="6">#REF!</definedName>
    <definedName name="UsagePartName015401">#REF!</definedName>
    <definedName name="UsagePartName015501" localSheetId="6">#REF!</definedName>
    <definedName name="UsagePartName015501">#REF!</definedName>
    <definedName name="UsagePartName015601" localSheetId="6">#REF!</definedName>
    <definedName name="UsagePartName015601">#REF!</definedName>
    <definedName name="UsagePartName015701" localSheetId="6">#REF!</definedName>
    <definedName name="UsagePartName015701">#REF!</definedName>
    <definedName name="UsagePartName015801" localSheetId="6">#REF!</definedName>
    <definedName name="UsagePartName015801">#REF!</definedName>
    <definedName name="UsagePartName015901" localSheetId="6">#REF!</definedName>
    <definedName name="UsagePartName015901">#REF!</definedName>
    <definedName name="UsagePartName016001" localSheetId="6">#REF!</definedName>
    <definedName name="UsagePartName016001">#REF!</definedName>
    <definedName name="UsagePartName016101" localSheetId="6">#REF!</definedName>
    <definedName name="UsagePartName016101">#REF!</definedName>
    <definedName name="UsagePartName016201" localSheetId="6">#REF!</definedName>
    <definedName name="UsagePartName016201">#REF!</definedName>
    <definedName name="UsagePartName016301" localSheetId="6">#REF!</definedName>
    <definedName name="UsagePartName016301">#REF!</definedName>
    <definedName name="UsagePartName016401" localSheetId="6">#REF!</definedName>
    <definedName name="UsagePartName016401">#REF!</definedName>
    <definedName name="UsagePartName016501" localSheetId="6">#REF!</definedName>
    <definedName name="UsagePartName016501">#REF!</definedName>
    <definedName name="UsagePartName016601" localSheetId="6">#REF!</definedName>
    <definedName name="UsagePartName016601">#REF!</definedName>
    <definedName name="UsagePartName016701" localSheetId="6">#REF!</definedName>
    <definedName name="UsagePartName016701">#REF!</definedName>
    <definedName name="UsagePartName016801" localSheetId="6">#REF!</definedName>
    <definedName name="UsagePartName016801">#REF!</definedName>
    <definedName name="UsagePartName016901" localSheetId="6">#REF!</definedName>
    <definedName name="UsagePartName016901">#REF!</definedName>
    <definedName name="UsagePartName017001" localSheetId="6">#REF!</definedName>
    <definedName name="UsagePartName017001">#REF!</definedName>
    <definedName name="UsagePartName017101" localSheetId="6">#REF!</definedName>
    <definedName name="UsagePartName017101">#REF!</definedName>
    <definedName name="UsagePartName017201" localSheetId="6">#REF!</definedName>
    <definedName name="UsagePartName017201">#REF!</definedName>
    <definedName name="UsagePartName017301" localSheetId="6">#REF!</definedName>
    <definedName name="UsagePartName017301">#REF!</definedName>
    <definedName name="UsagePartName017401" localSheetId="6">#REF!</definedName>
    <definedName name="UsagePartName017401">#REF!</definedName>
    <definedName name="UsagePartName017501" localSheetId="6">#REF!</definedName>
    <definedName name="UsagePartName017501">#REF!</definedName>
    <definedName name="UsagePartName017601" localSheetId="6">#REF!</definedName>
    <definedName name="UsagePartName017601">#REF!</definedName>
    <definedName name="UsagePartName017701" localSheetId="6">#REF!</definedName>
    <definedName name="UsagePartName017701">#REF!</definedName>
    <definedName name="UsagePartName017801" localSheetId="6">#REF!</definedName>
    <definedName name="UsagePartName017801">#REF!</definedName>
    <definedName name="UsagePartName017901" localSheetId="6">#REF!</definedName>
    <definedName name="UsagePartName017901">#REF!</definedName>
    <definedName name="UsagePartName018001" localSheetId="6">#REF!</definedName>
    <definedName name="UsagePartName018001">#REF!</definedName>
    <definedName name="UsagePartName018101" localSheetId="6">#REF!</definedName>
    <definedName name="UsagePartName018101">#REF!</definedName>
    <definedName name="UsagePartName018201" localSheetId="6">#REF!</definedName>
    <definedName name="UsagePartName018201">#REF!</definedName>
    <definedName name="UsagePartName018301" localSheetId="6">#REF!</definedName>
    <definedName name="UsagePartName018301">#REF!</definedName>
    <definedName name="UsagePartName018401" localSheetId="6">#REF!</definedName>
    <definedName name="UsagePartName018401">#REF!</definedName>
    <definedName name="UsagePartName018501" localSheetId="6">#REF!</definedName>
    <definedName name="UsagePartName018501">#REF!</definedName>
    <definedName name="UsagePartName018601" localSheetId="6">#REF!</definedName>
    <definedName name="UsagePartName018601">#REF!</definedName>
    <definedName name="UsagePartName018701" localSheetId="6">#REF!</definedName>
    <definedName name="UsagePartName018701">#REF!</definedName>
    <definedName name="UsagePartName018801" localSheetId="6">#REF!</definedName>
    <definedName name="UsagePartName018801">#REF!</definedName>
    <definedName name="UsagePartName018901" localSheetId="6">#REF!</definedName>
    <definedName name="UsagePartName018901">#REF!</definedName>
    <definedName name="UsagePartName019001" localSheetId="6">#REF!</definedName>
    <definedName name="UsagePartName019001">#REF!</definedName>
    <definedName name="UsagePartName019101" localSheetId="6">#REF!</definedName>
    <definedName name="UsagePartName019101">#REF!</definedName>
    <definedName name="UsagePartName019201" localSheetId="6">#REF!</definedName>
    <definedName name="UsagePartName019201">#REF!</definedName>
    <definedName name="UsagePartName019301" localSheetId="6">#REF!</definedName>
    <definedName name="UsagePartName019301">#REF!</definedName>
    <definedName name="UsagePartName019401" localSheetId="6">#REF!</definedName>
    <definedName name="UsagePartName019401">#REF!</definedName>
    <definedName name="UsagePartName019501" localSheetId="6">#REF!</definedName>
    <definedName name="UsagePartName019501">#REF!</definedName>
    <definedName name="UsagePartName019601" localSheetId="6">#REF!</definedName>
    <definedName name="UsagePartName019601">#REF!</definedName>
    <definedName name="UsagePartName019701" localSheetId="6">#REF!</definedName>
    <definedName name="UsagePartName019701">#REF!</definedName>
    <definedName name="UsagePartName019801" localSheetId="6">#REF!</definedName>
    <definedName name="UsagePartName019801">#REF!</definedName>
    <definedName name="UsagePartName019901" localSheetId="6">#REF!</definedName>
    <definedName name="UsagePartName019901">#REF!</definedName>
    <definedName name="UsagePartNumber010101" localSheetId="6">#REF!</definedName>
    <definedName name="UsagePartNumber010101">#REF!</definedName>
    <definedName name="UsagePartNumber010201" localSheetId="6">#REF!</definedName>
    <definedName name="UsagePartNumber010201">#REF!</definedName>
    <definedName name="UsagePartNumber010301" localSheetId="6">#REF!</definedName>
    <definedName name="UsagePartNumber010301">#REF!</definedName>
    <definedName name="UsagePartNumber010401" localSheetId="6">#REF!</definedName>
    <definedName name="UsagePartNumber010401">#REF!</definedName>
    <definedName name="UsagePartNumber010501" localSheetId="6">#REF!</definedName>
    <definedName name="UsagePartNumber010501">#REF!</definedName>
    <definedName name="UsagePartNumber010601" localSheetId="6">#REF!</definedName>
    <definedName name="UsagePartNumber010601">#REF!</definedName>
    <definedName name="UsagePartNumber010701" localSheetId="6">#REF!</definedName>
    <definedName name="UsagePartNumber010701">#REF!</definedName>
    <definedName name="UsagePartNumber010801" localSheetId="6">#REF!</definedName>
    <definedName name="UsagePartNumber010801">#REF!</definedName>
    <definedName name="UsagePartNumber010901" localSheetId="6">#REF!</definedName>
    <definedName name="UsagePartNumber010901">#REF!</definedName>
    <definedName name="UsagePartNumber011001" localSheetId="6">#REF!</definedName>
    <definedName name="UsagePartNumber011001">#REF!</definedName>
    <definedName name="UsagePartNumber011101" localSheetId="6">#REF!</definedName>
    <definedName name="UsagePartNumber011101">#REF!</definedName>
    <definedName name="UsagePartNumber011201" localSheetId="6">#REF!</definedName>
    <definedName name="UsagePartNumber011201">#REF!</definedName>
    <definedName name="UsagePartNumber011301" localSheetId="6">#REF!</definedName>
    <definedName name="UsagePartNumber011301">#REF!</definedName>
    <definedName name="UsagePartNumber011401" localSheetId="6">#REF!</definedName>
    <definedName name="UsagePartNumber011401">#REF!</definedName>
    <definedName name="UsagePartNumber011501" localSheetId="6">#REF!</definedName>
    <definedName name="UsagePartNumber011501">#REF!</definedName>
    <definedName name="UsagePartNumber011601" localSheetId="6">#REF!</definedName>
    <definedName name="UsagePartNumber011601">#REF!</definedName>
    <definedName name="UsagePartNumber011701" localSheetId="6">#REF!</definedName>
    <definedName name="UsagePartNumber011701">#REF!</definedName>
    <definedName name="UsagePartNumber011801" localSheetId="6">#REF!</definedName>
    <definedName name="UsagePartNumber011801">#REF!</definedName>
    <definedName name="UsagePartNumber011901" localSheetId="6">#REF!</definedName>
    <definedName name="UsagePartNumber011901">#REF!</definedName>
    <definedName name="UsagePartNumber012001" localSheetId="6">#REF!</definedName>
    <definedName name="UsagePartNumber012001">#REF!</definedName>
    <definedName name="UsagePartNumber012101" localSheetId="6">#REF!</definedName>
    <definedName name="UsagePartNumber012101">#REF!</definedName>
    <definedName name="UsagePartNumber012201" localSheetId="6">#REF!</definedName>
    <definedName name="UsagePartNumber012201">#REF!</definedName>
    <definedName name="UsagePartNumber012301" localSheetId="6">#REF!</definedName>
    <definedName name="UsagePartNumber012301">#REF!</definedName>
    <definedName name="UsagePartNumber012401" localSheetId="6">#REF!</definedName>
    <definedName name="UsagePartNumber012401">#REF!</definedName>
    <definedName name="UsagePartNumber012501" localSheetId="6">#REF!</definedName>
    <definedName name="UsagePartNumber012501">#REF!</definedName>
    <definedName name="UsagePartNumber012601" localSheetId="6">#REF!</definedName>
    <definedName name="UsagePartNumber012601">#REF!</definedName>
    <definedName name="UsagePartNumber012701" localSheetId="6">#REF!</definedName>
    <definedName name="UsagePartNumber012701">#REF!</definedName>
    <definedName name="UsagePartNumber012801" localSheetId="6">#REF!</definedName>
    <definedName name="UsagePartNumber012801">#REF!</definedName>
    <definedName name="UsagePartNumber012901" localSheetId="6">#REF!</definedName>
    <definedName name="UsagePartNumber012901">#REF!</definedName>
    <definedName name="UsagePartNumber013001" localSheetId="6">#REF!</definedName>
    <definedName name="UsagePartNumber013001">#REF!</definedName>
    <definedName name="UsagePartNumber013101" localSheetId="6">#REF!</definedName>
    <definedName name="UsagePartNumber013101">#REF!</definedName>
    <definedName name="UsagePartNumber013201" localSheetId="6">#REF!</definedName>
    <definedName name="UsagePartNumber013201">#REF!</definedName>
    <definedName name="UsagePartNumber013301" localSheetId="6">#REF!</definedName>
    <definedName name="UsagePartNumber013301">#REF!</definedName>
    <definedName name="UsagePartNumber013401" localSheetId="6">#REF!</definedName>
    <definedName name="UsagePartNumber013401">#REF!</definedName>
    <definedName name="UsagePartNumber013501" localSheetId="6">#REF!</definedName>
    <definedName name="UsagePartNumber013501">#REF!</definedName>
    <definedName name="UsagePartNumber013601" localSheetId="6">#REF!</definedName>
    <definedName name="UsagePartNumber013601">#REF!</definedName>
    <definedName name="UsagePartNumber013701" localSheetId="6">#REF!</definedName>
    <definedName name="UsagePartNumber013701">#REF!</definedName>
    <definedName name="UsagePartNumber013801" localSheetId="6">#REF!</definedName>
    <definedName name="UsagePartNumber013801">#REF!</definedName>
    <definedName name="UsagePartNumber013901" localSheetId="6">#REF!</definedName>
    <definedName name="UsagePartNumber013901">#REF!</definedName>
    <definedName name="UsagePartNumber014001" localSheetId="6">#REF!</definedName>
    <definedName name="UsagePartNumber014001">#REF!</definedName>
    <definedName name="UsagePartNumber014101" localSheetId="6">#REF!</definedName>
    <definedName name="UsagePartNumber014101">#REF!</definedName>
    <definedName name="UsagePartNumber014201" localSheetId="6">#REF!</definedName>
    <definedName name="UsagePartNumber014201">#REF!</definedName>
    <definedName name="UsagePartNumber014301" localSheetId="6">#REF!</definedName>
    <definedName name="UsagePartNumber014301">#REF!</definedName>
    <definedName name="UsagePartNumber014401" localSheetId="6">#REF!</definedName>
    <definedName name="UsagePartNumber014401">#REF!</definedName>
    <definedName name="UsagePartNumber014501" localSheetId="6">#REF!</definedName>
    <definedName name="UsagePartNumber014501">#REF!</definedName>
    <definedName name="UsagePartNumber014601" localSheetId="6">#REF!</definedName>
    <definedName name="UsagePartNumber014601">#REF!</definedName>
    <definedName name="UsagePartNumber014701" localSheetId="6">#REF!</definedName>
    <definedName name="UsagePartNumber014701">#REF!</definedName>
    <definedName name="UsagePartNumber014801" localSheetId="6">#REF!</definedName>
    <definedName name="UsagePartNumber014801">#REF!</definedName>
    <definedName name="UsagePartNumber014901" localSheetId="6">#REF!</definedName>
    <definedName name="UsagePartNumber014901">#REF!</definedName>
    <definedName name="UsagePartNumber015001" localSheetId="6">#REF!</definedName>
    <definedName name="UsagePartNumber015001">#REF!</definedName>
    <definedName name="UsagePartNumber015101" localSheetId="6">#REF!</definedName>
    <definedName name="UsagePartNumber015101">#REF!</definedName>
    <definedName name="UsagePartNumber015201" localSheetId="6">#REF!</definedName>
    <definedName name="UsagePartNumber015201">#REF!</definedName>
    <definedName name="UsagePartNumber015301" localSheetId="6">#REF!</definedName>
    <definedName name="UsagePartNumber015301">#REF!</definedName>
    <definedName name="UsagePartNumber015401" localSheetId="6">#REF!</definedName>
    <definedName name="UsagePartNumber015401">#REF!</definedName>
    <definedName name="UsagePartNumber015501" localSheetId="6">#REF!</definedName>
    <definedName name="UsagePartNumber015501">#REF!</definedName>
    <definedName name="UsagePartNumber015601" localSheetId="6">#REF!</definedName>
    <definedName name="UsagePartNumber015601">#REF!</definedName>
    <definedName name="UsagePartNumber015701" localSheetId="6">#REF!</definedName>
    <definedName name="UsagePartNumber015701">#REF!</definedName>
    <definedName name="UsagePartNumber015801" localSheetId="6">#REF!</definedName>
    <definedName name="UsagePartNumber015801">#REF!</definedName>
    <definedName name="UsagePartNumber015901" localSheetId="6">#REF!</definedName>
    <definedName name="UsagePartNumber015901">#REF!</definedName>
    <definedName name="UsagePartNumber016001" localSheetId="6">#REF!</definedName>
    <definedName name="UsagePartNumber016001">#REF!</definedName>
    <definedName name="UsagePartNumber016101" localSheetId="6">#REF!</definedName>
    <definedName name="UsagePartNumber016101">#REF!</definedName>
    <definedName name="UsagePartNumber016201" localSheetId="6">#REF!</definedName>
    <definedName name="UsagePartNumber016201">#REF!</definedName>
    <definedName name="UsagePartNumber016301" localSheetId="6">#REF!</definedName>
    <definedName name="UsagePartNumber016301">#REF!</definedName>
    <definedName name="UsagePartNumber016401" localSheetId="6">#REF!</definedName>
    <definedName name="UsagePartNumber016401">#REF!</definedName>
    <definedName name="UsagePartNumber016501" localSheetId="6">#REF!</definedName>
    <definedName name="UsagePartNumber016501">#REF!</definedName>
    <definedName name="UsagePartNumber016601" localSheetId="6">#REF!</definedName>
    <definedName name="UsagePartNumber016601">#REF!</definedName>
    <definedName name="UsagePartNumber016701" localSheetId="6">#REF!</definedName>
    <definedName name="UsagePartNumber016701">#REF!</definedName>
    <definedName name="UsagePartNumber016801" localSheetId="6">#REF!</definedName>
    <definedName name="UsagePartNumber016801">#REF!</definedName>
    <definedName name="UsagePartNumber016901" localSheetId="6">#REF!</definedName>
    <definedName name="UsagePartNumber016901">#REF!</definedName>
    <definedName name="UsagePartNumber017001" localSheetId="6">#REF!</definedName>
    <definedName name="UsagePartNumber017001">#REF!</definedName>
    <definedName name="UsagePartNumber017101" localSheetId="6">#REF!</definedName>
    <definedName name="UsagePartNumber017101">#REF!</definedName>
    <definedName name="UsagePartNumber017201" localSheetId="6">#REF!</definedName>
    <definedName name="UsagePartNumber017201">#REF!</definedName>
    <definedName name="UsagePartNumber017301" localSheetId="6">#REF!</definedName>
    <definedName name="UsagePartNumber017301">#REF!</definedName>
    <definedName name="UsagePartNumber017401" localSheetId="6">#REF!</definedName>
    <definedName name="UsagePartNumber017401">#REF!</definedName>
    <definedName name="UsagePartNumber017501" localSheetId="6">#REF!</definedName>
    <definedName name="UsagePartNumber017501">#REF!</definedName>
    <definedName name="UsagePartNumber017601" localSheetId="6">#REF!</definedName>
    <definedName name="UsagePartNumber017601">#REF!</definedName>
    <definedName name="UsagePartNumber017701" localSheetId="6">#REF!</definedName>
    <definedName name="UsagePartNumber017701">#REF!</definedName>
    <definedName name="UsagePartNumber017801" localSheetId="6">#REF!</definedName>
    <definedName name="UsagePartNumber017801">#REF!</definedName>
    <definedName name="UsagePartNumber017901" localSheetId="6">#REF!</definedName>
    <definedName name="UsagePartNumber017901">#REF!</definedName>
    <definedName name="UsagePartNumber018001" localSheetId="6">#REF!</definedName>
    <definedName name="UsagePartNumber018001">#REF!</definedName>
    <definedName name="UsagePartNumber018101" localSheetId="6">#REF!</definedName>
    <definedName name="UsagePartNumber018101">#REF!</definedName>
    <definedName name="UsagePartNumber018201" localSheetId="6">#REF!</definedName>
    <definedName name="UsagePartNumber018201">#REF!</definedName>
    <definedName name="UsagePartNumber018301" localSheetId="6">#REF!</definedName>
    <definedName name="UsagePartNumber018301">#REF!</definedName>
    <definedName name="UsagePartNumber018401" localSheetId="6">#REF!</definedName>
    <definedName name="UsagePartNumber018401">#REF!</definedName>
    <definedName name="UsagePartNumber018501" localSheetId="6">#REF!</definedName>
    <definedName name="UsagePartNumber018501">#REF!</definedName>
    <definedName name="UsagePartNumber018601" localSheetId="6">#REF!</definedName>
    <definedName name="UsagePartNumber018601">#REF!</definedName>
    <definedName name="UsagePartNumber018701" localSheetId="6">#REF!</definedName>
    <definedName name="UsagePartNumber018701">#REF!</definedName>
    <definedName name="UsagePartNumber018801" localSheetId="6">#REF!</definedName>
    <definedName name="UsagePartNumber018801">#REF!</definedName>
    <definedName name="UsagePartNumber018901" localSheetId="6">#REF!</definedName>
    <definedName name="UsagePartNumber018901">#REF!</definedName>
    <definedName name="UsagePartNumber019001" localSheetId="6">#REF!</definedName>
    <definedName name="UsagePartNumber019001">#REF!</definedName>
    <definedName name="UsagePartNumber019101" localSheetId="6">#REF!</definedName>
    <definedName name="UsagePartNumber019101">#REF!</definedName>
    <definedName name="UsagePartNumber019201" localSheetId="6">#REF!</definedName>
    <definedName name="UsagePartNumber019201">#REF!</definedName>
    <definedName name="UsagePartNumber019301" localSheetId="6">#REF!</definedName>
    <definedName name="UsagePartNumber019301">#REF!</definedName>
    <definedName name="UsagePartNumber019401" localSheetId="6">#REF!</definedName>
    <definedName name="UsagePartNumber019401">#REF!</definedName>
    <definedName name="UsagePartNumber019501" localSheetId="6">#REF!</definedName>
    <definedName name="UsagePartNumber019501">#REF!</definedName>
    <definedName name="UsagePartNumber019601" localSheetId="6">#REF!</definedName>
    <definedName name="UsagePartNumber019601">#REF!</definedName>
    <definedName name="UsagePartNumber019701" localSheetId="6">#REF!</definedName>
    <definedName name="UsagePartNumber019701">#REF!</definedName>
    <definedName name="UsagePartNumber019801" localSheetId="6">#REF!</definedName>
    <definedName name="UsagePartNumber019801">#REF!</definedName>
    <definedName name="UsagePartNumber019901" localSheetId="6">#REF!</definedName>
    <definedName name="UsagePartNumber019901">#REF!</definedName>
    <definedName name="UsagePartTNumber010101" localSheetId="6">#REF!</definedName>
    <definedName name="UsagePartTNumber010101">#REF!</definedName>
    <definedName name="UsagePartTNumber010201" localSheetId="6">#REF!</definedName>
    <definedName name="UsagePartTNumber010201">#REF!</definedName>
    <definedName name="UsagePartTNumber010301" localSheetId="6">#REF!</definedName>
    <definedName name="UsagePartTNumber010301">#REF!</definedName>
    <definedName name="UsagePartTNumber010401" localSheetId="6">#REF!</definedName>
    <definedName name="UsagePartTNumber010401">#REF!</definedName>
    <definedName name="UsagePartTNumber010501" localSheetId="6">#REF!</definedName>
    <definedName name="UsagePartTNumber010501">#REF!</definedName>
    <definedName name="UsagePartTNumber010601" localSheetId="6">#REF!</definedName>
    <definedName name="UsagePartTNumber010601">#REF!</definedName>
    <definedName name="UsagePartTNumber010701" localSheetId="6">#REF!</definedName>
    <definedName name="UsagePartTNumber010701">#REF!</definedName>
    <definedName name="UsagePartTNumber010801" localSheetId="6">#REF!</definedName>
    <definedName name="UsagePartTNumber010801">#REF!</definedName>
    <definedName name="UsagePartTNumber010901" localSheetId="6">#REF!</definedName>
    <definedName name="UsagePartTNumber010901">#REF!</definedName>
    <definedName name="UsagePartTNumber011001" localSheetId="6">#REF!</definedName>
    <definedName name="UsagePartTNumber011001">#REF!</definedName>
    <definedName name="UsagePartTNumber011101" localSheetId="6">#REF!</definedName>
    <definedName name="UsagePartTNumber011101">#REF!</definedName>
    <definedName name="UsagePartTNumber011201" localSheetId="6">#REF!</definedName>
    <definedName name="UsagePartTNumber011201">#REF!</definedName>
    <definedName name="UsagePartTNumber011301" localSheetId="6">#REF!</definedName>
    <definedName name="UsagePartTNumber011301">#REF!</definedName>
    <definedName name="UsagePartTNumber011401" localSheetId="6">#REF!</definedName>
    <definedName name="UsagePartTNumber011401">#REF!</definedName>
    <definedName name="UsagePartTNumber011501" localSheetId="6">#REF!</definedName>
    <definedName name="UsagePartTNumber011501">#REF!</definedName>
    <definedName name="UsagePartTNumber011601" localSheetId="6">#REF!</definedName>
    <definedName name="UsagePartTNumber011601">#REF!</definedName>
    <definedName name="UsagePartTNumber011701" localSheetId="6">#REF!</definedName>
    <definedName name="UsagePartTNumber011701">#REF!</definedName>
    <definedName name="UsagePartTNumber011801" localSheetId="6">#REF!</definedName>
    <definedName name="UsagePartTNumber011801">#REF!</definedName>
    <definedName name="UsagePartTNumber011901" localSheetId="6">#REF!</definedName>
    <definedName name="UsagePartTNumber011901">#REF!</definedName>
    <definedName name="UsagePartTNumber012001" localSheetId="6">#REF!</definedName>
    <definedName name="UsagePartTNumber012001">#REF!</definedName>
    <definedName name="UsagePartTNumber012101" localSheetId="6">#REF!</definedName>
    <definedName name="UsagePartTNumber012101">#REF!</definedName>
    <definedName name="UsagePartTNumber012201" localSheetId="6">#REF!</definedName>
    <definedName name="UsagePartTNumber012201">#REF!</definedName>
    <definedName name="UsagePartTNumber012301" localSheetId="6">#REF!</definedName>
    <definedName name="UsagePartTNumber012301">#REF!</definedName>
    <definedName name="UsagePartTNumber012401" localSheetId="6">#REF!</definedName>
    <definedName name="UsagePartTNumber012401">#REF!</definedName>
    <definedName name="UsagePartTNumber012501" localSheetId="6">#REF!</definedName>
    <definedName name="UsagePartTNumber012501">#REF!</definedName>
    <definedName name="UsagePartTNumber012601" localSheetId="6">#REF!</definedName>
    <definedName name="UsagePartTNumber012601">#REF!</definedName>
    <definedName name="UsagePartTNumber012701" localSheetId="6">#REF!</definedName>
    <definedName name="UsagePartTNumber012701">#REF!</definedName>
    <definedName name="UsagePartTNumber012801" localSheetId="6">#REF!</definedName>
    <definedName name="UsagePartTNumber012801">#REF!</definedName>
    <definedName name="UsagePartTNumber012901" localSheetId="6">#REF!</definedName>
    <definedName name="UsagePartTNumber012901">#REF!</definedName>
    <definedName name="UsagePartTNumber013001" localSheetId="6">#REF!</definedName>
    <definedName name="UsagePartTNumber013001">#REF!</definedName>
    <definedName name="UsagePartTNumber013101" localSheetId="6">#REF!</definedName>
    <definedName name="UsagePartTNumber013101">#REF!</definedName>
    <definedName name="UsagePartTNumber013201" localSheetId="6">#REF!</definedName>
    <definedName name="UsagePartTNumber013201">#REF!</definedName>
    <definedName name="UsagePartTNumber013301" localSheetId="6">#REF!</definedName>
    <definedName name="UsagePartTNumber013301">#REF!</definedName>
    <definedName name="UsagePartTNumber013401" localSheetId="6">#REF!</definedName>
    <definedName name="UsagePartTNumber013401">#REF!</definedName>
    <definedName name="UsagePartTNumber013501" localSheetId="6">#REF!</definedName>
    <definedName name="UsagePartTNumber013501">#REF!</definedName>
    <definedName name="UsagePartTNumber013601" localSheetId="6">#REF!</definedName>
    <definedName name="UsagePartTNumber013601">#REF!</definedName>
    <definedName name="UsagePartTNumber013701" localSheetId="6">#REF!</definedName>
    <definedName name="UsagePartTNumber013701">#REF!</definedName>
    <definedName name="UsagePartTNumber013801" localSheetId="6">#REF!</definedName>
    <definedName name="UsagePartTNumber013801">#REF!</definedName>
    <definedName name="UsagePartTNumber013901" localSheetId="6">#REF!</definedName>
    <definedName name="UsagePartTNumber013901">#REF!</definedName>
    <definedName name="UsagePartTNumber014001" localSheetId="6">#REF!</definedName>
    <definedName name="UsagePartTNumber014001">#REF!</definedName>
    <definedName name="UsagePartTNumber014101" localSheetId="6">#REF!</definedName>
    <definedName name="UsagePartTNumber014101">#REF!</definedName>
    <definedName name="UsagePartTNumber014201" localSheetId="6">#REF!</definedName>
    <definedName name="UsagePartTNumber014201">#REF!</definedName>
    <definedName name="UsagePartTNumber014301" localSheetId="6">#REF!</definedName>
    <definedName name="UsagePartTNumber014301">#REF!</definedName>
    <definedName name="UsagePartTNumber014401" localSheetId="6">#REF!</definedName>
    <definedName name="UsagePartTNumber014401">#REF!</definedName>
    <definedName name="UsagePartTNumber014501" localSheetId="6">#REF!</definedName>
    <definedName name="UsagePartTNumber014501">#REF!</definedName>
    <definedName name="UsagePartTNumber014601" localSheetId="6">#REF!</definedName>
    <definedName name="UsagePartTNumber014601">#REF!</definedName>
    <definedName name="UsagePartTNumber014701" localSheetId="6">#REF!</definedName>
    <definedName name="UsagePartTNumber014701">#REF!</definedName>
    <definedName name="UsagePartTNumber014801" localSheetId="6">#REF!</definedName>
    <definedName name="UsagePartTNumber014801">#REF!</definedName>
    <definedName name="UsagePartTNumber014901" localSheetId="6">#REF!</definedName>
    <definedName name="UsagePartTNumber014901">#REF!</definedName>
    <definedName name="UsagePartTNumber015001" localSheetId="6">#REF!</definedName>
    <definedName name="UsagePartTNumber015001">#REF!</definedName>
    <definedName name="UsagePartTNumber015101" localSheetId="6">#REF!</definedName>
    <definedName name="UsagePartTNumber015101">#REF!</definedName>
    <definedName name="UsagePartTNumber015201" localSheetId="6">#REF!</definedName>
    <definedName name="UsagePartTNumber015201">#REF!</definedName>
    <definedName name="UsagePartTNumber015301" localSheetId="6">#REF!</definedName>
    <definedName name="UsagePartTNumber015301">#REF!</definedName>
    <definedName name="UsagePartTNumber015401" localSheetId="6">#REF!</definedName>
    <definedName name="UsagePartTNumber015401">#REF!</definedName>
    <definedName name="UsagePartTNumber015501" localSheetId="6">#REF!</definedName>
    <definedName name="UsagePartTNumber015501">#REF!</definedName>
    <definedName name="UsagePartTNumber015601" localSheetId="6">#REF!</definedName>
    <definedName name="UsagePartTNumber015601">#REF!</definedName>
    <definedName name="UsagePartTNumber015701" localSheetId="6">#REF!</definedName>
    <definedName name="UsagePartTNumber015701">#REF!</definedName>
    <definedName name="UsagePartTNumber015801" localSheetId="6">#REF!</definedName>
    <definedName name="UsagePartTNumber015801">#REF!</definedName>
    <definedName name="UsagePartTNumber015901" localSheetId="6">#REF!</definedName>
    <definedName name="UsagePartTNumber015901">#REF!</definedName>
    <definedName name="UsagePartTNumber016001" localSheetId="6">#REF!</definedName>
    <definedName name="UsagePartTNumber016001">#REF!</definedName>
    <definedName name="UsagePartTNumber016101" localSheetId="6">#REF!</definedName>
    <definedName name="UsagePartTNumber016101">#REF!</definedName>
    <definedName name="UsagePartTNumber016201" localSheetId="6">#REF!</definedName>
    <definedName name="UsagePartTNumber016201">#REF!</definedName>
    <definedName name="UsagePartTNumber016301" localSheetId="6">#REF!</definedName>
    <definedName name="UsagePartTNumber016301">#REF!</definedName>
    <definedName name="UsagePartTNumber016401" localSheetId="6">#REF!</definedName>
    <definedName name="UsagePartTNumber016401">#REF!</definedName>
    <definedName name="UsagePartTNumber016501" localSheetId="6">#REF!</definedName>
    <definedName name="UsagePartTNumber016501">#REF!</definedName>
    <definedName name="UsagePartTNumber016601" localSheetId="6">#REF!</definedName>
    <definedName name="UsagePartTNumber016601">#REF!</definedName>
    <definedName name="UsagePartTNumber016701" localSheetId="6">#REF!</definedName>
    <definedName name="UsagePartTNumber016701">#REF!</definedName>
    <definedName name="UsagePartTNumber016801" localSheetId="6">#REF!</definedName>
    <definedName name="UsagePartTNumber016801">#REF!</definedName>
    <definedName name="UsagePartTNumber016901" localSheetId="6">#REF!</definedName>
    <definedName name="UsagePartTNumber016901">#REF!</definedName>
    <definedName name="UsagePartTNumber017001" localSheetId="6">#REF!</definedName>
    <definedName name="UsagePartTNumber017001">#REF!</definedName>
    <definedName name="UsagePartTNumber017101" localSheetId="6">#REF!</definedName>
    <definedName name="UsagePartTNumber017101">#REF!</definedName>
    <definedName name="UsagePartTNumber017201" localSheetId="6">#REF!</definedName>
    <definedName name="UsagePartTNumber017201">#REF!</definedName>
    <definedName name="UsagePartTNumber017301" localSheetId="6">#REF!</definedName>
    <definedName name="UsagePartTNumber017301">#REF!</definedName>
    <definedName name="UsagePartTNumber017401" localSheetId="6">#REF!</definedName>
    <definedName name="UsagePartTNumber017401">#REF!</definedName>
    <definedName name="UsagePartTNumber017501" localSheetId="6">#REF!</definedName>
    <definedName name="UsagePartTNumber017501">#REF!</definedName>
    <definedName name="UsagePartTNumber017601" localSheetId="6">#REF!</definedName>
    <definedName name="UsagePartTNumber017601">#REF!</definedName>
    <definedName name="UsagePartTNumber017701" localSheetId="6">#REF!</definedName>
    <definedName name="UsagePartTNumber017701">#REF!</definedName>
    <definedName name="UsagePartTNumber017801" localSheetId="6">#REF!</definedName>
    <definedName name="UsagePartTNumber017801">#REF!</definedName>
    <definedName name="UsagePartTNumber017901" localSheetId="6">#REF!</definedName>
    <definedName name="UsagePartTNumber017901">#REF!</definedName>
    <definedName name="UsagePartTNumber018001" localSheetId="6">#REF!</definedName>
    <definedName name="UsagePartTNumber018001">#REF!</definedName>
    <definedName name="UsagePartTNumber018101" localSheetId="6">#REF!</definedName>
    <definedName name="UsagePartTNumber018101">#REF!</definedName>
    <definedName name="UsagePartTNumber018201" localSheetId="6">#REF!</definedName>
    <definedName name="UsagePartTNumber018201">#REF!</definedName>
    <definedName name="UsagePartTNumber018301" localSheetId="6">#REF!</definedName>
    <definedName name="UsagePartTNumber018301">#REF!</definedName>
    <definedName name="UsagePartTNumber018401" localSheetId="6">#REF!</definedName>
    <definedName name="UsagePartTNumber018401">#REF!</definedName>
    <definedName name="UsagePartTNumber018501" localSheetId="6">#REF!</definedName>
    <definedName name="UsagePartTNumber018501">#REF!</definedName>
    <definedName name="UsagePartTNumber018601" localSheetId="6">#REF!</definedName>
    <definedName name="UsagePartTNumber018601">#REF!</definedName>
    <definedName name="UsagePartTNumber018701" localSheetId="6">#REF!</definedName>
    <definedName name="UsagePartTNumber018701">#REF!</definedName>
    <definedName name="UsagePartTNumber018801" localSheetId="6">#REF!</definedName>
    <definedName name="UsagePartTNumber018801">#REF!</definedName>
    <definedName name="UsagePartTNumber018901" localSheetId="6">#REF!</definedName>
    <definedName name="UsagePartTNumber018901">#REF!</definedName>
    <definedName name="UsagePartTNumber019001" localSheetId="6">#REF!</definedName>
    <definedName name="UsagePartTNumber019001">#REF!</definedName>
    <definedName name="UsagePartTNumber019101" localSheetId="6">#REF!</definedName>
    <definedName name="UsagePartTNumber019101">#REF!</definedName>
    <definedName name="UsagePartTNumber019201" localSheetId="6">#REF!</definedName>
    <definedName name="UsagePartTNumber019201">#REF!</definedName>
    <definedName name="UsagePartTNumber019301" localSheetId="6">#REF!</definedName>
    <definedName name="UsagePartTNumber019301">#REF!</definedName>
    <definedName name="UsagePartTNumber019401" localSheetId="6">#REF!</definedName>
    <definedName name="UsagePartTNumber019401">#REF!</definedName>
    <definedName name="UsagePartTNumber019501" localSheetId="6">#REF!</definedName>
    <definedName name="UsagePartTNumber019501">#REF!</definedName>
    <definedName name="UsagePartTNumber019601" localSheetId="6">#REF!</definedName>
    <definedName name="UsagePartTNumber019601">#REF!</definedName>
    <definedName name="UsagePartTNumber019701" localSheetId="6">#REF!</definedName>
    <definedName name="UsagePartTNumber019701">#REF!</definedName>
    <definedName name="UsagePartTNumber019801" localSheetId="6">#REF!</definedName>
    <definedName name="UsagePartTNumber019801">#REF!</definedName>
    <definedName name="UsagePartTNumber019901" localSheetId="6">#REF!</definedName>
    <definedName name="UsagePartTNumber019901">#REF!</definedName>
    <definedName name="zukanri" localSheetId="6">#REF!</definedName>
    <definedName name="zukanri">#REF!</definedName>
    <definedName name="あ" localSheetId="6">#REF!</definedName>
    <definedName name="あ">#REF!</definedName>
    <definedName name="あｓ" localSheetId="6" hidden="1">[4]計画アイテム!#REF!</definedName>
    <definedName name="あｓ" hidden="1">[4]計画アイテム!#REF!</definedName>
    <definedName name="い" localSheetId="6">#REF!</definedName>
    <definedName name="い">#REF!</definedName>
    <definedName name="え" localSheetId="6" hidden="1">[4]計画アイテム!#REF!</definedName>
    <definedName name="え" hidden="1">[4]計画アイテム!#REF!</definedName>
    <definedName name="か" localSheetId="6">#REF!</definedName>
    <definedName name="か">#REF!</definedName>
    <definedName name="ｺｰﾄﾞ表" localSheetId="6">#REF!</definedName>
    <definedName name="ｺｰﾄﾞ表">#REF!</definedName>
    <definedName name="ｺﾈｸﾀOEM" localSheetId="6" hidden="1">#REF!</definedName>
    <definedName name="ｺﾈｸﾀOEM" hidden="1">#REF!</definedName>
    <definedName name="ｺﾈｸﾀOEM１" localSheetId="6" hidden="1">#REF!</definedName>
    <definedName name="ｺﾈｸﾀOEM１" hidden="1">#REF!</definedName>
    <definedName name="ｺﾈｸﾀOEM２" localSheetId="6" hidden="1">[1]計画アイテム!#REF!</definedName>
    <definedName name="ｺﾈｸﾀOEM２" hidden="1">[1]計画アイテム!#REF!</definedName>
    <definedName name="ｺﾈｸﾀOEM３" localSheetId="6">#REF!</definedName>
    <definedName name="ｺﾈｸﾀOEM３">#REF!</definedName>
    <definedName name="ｺﾈｸﾀOEM４" localSheetId="6">#REF!</definedName>
    <definedName name="ｺﾈｸﾀOEM４">#REF!</definedName>
    <definedName name="ｺﾈｸﾀOEM５" localSheetId="6">#REF!</definedName>
    <definedName name="ｺﾈｸﾀOEM５">#REF!</definedName>
    <definedName name="ｺﾈｸﾀOEM７" localSheetId="6">#REF!</definedName>
    <definedName name="ｺﾈｸﾀOEM７">#REF!</definedName>
    <definedName name="さ" localSheetId="6">#REF!</definedName>
    <definedName name="さ">#REF!</definedName>
    <definedName name="た" localSheetId="6">#REF!</definedName>
    <definedName name="た">#REF!</definedName>
    <definedName name="たたた" localSheetId="6">#REF!</definedName>
    <definedName name="たたた">#REF!</definedName>
    <definedName name="たたて" localSheetId="6">#REF!</definedName>
    <definedName name="たたて">#REF!</definedName>
    <definedName name="たて" localSheetId="6">#REF!</definedName>
    <definedName name="たて">#REF!</definedName>
    <definedName name="ち" localSheetId="6">#REF!</definedName>
    <definedName name="ち">#REF!</definedName>
    <definedName name="チタン" localSheetId="6">#REF!</definedName>
    <definedName name="チタン">#REF!</definedName>
    <definedName name="チップ" localSheetId="6">#REF!</definedName>
    <definedName name="チップ">#REF!</definedName>
    <definedName name="て" localSheetId="6">#REF!</definedName>
    <definedName name="て">#REF!</definedName>
    <definedName name="で" localSheetId="6">#REF!</definedName>
    <definedName name="で">#REF!</definedName>
    <definedName name="ﾃﾞｰﾀﾍﾞｰｽ" localSheetId="6">#REF!</definedName>
    <definedName name="ﾃﾞｰﾀﾍﾞｰｽ">#REF!</definedName>
    <definedName name="トヨタ車種コード" localSheetId="6">#REF!</definedName>
    <definedName name="トヨタ車種コード">#REF!</definedName>
    <definedName name="な" localSheetId="6">#REF!</definedName>
    <definedName name="な">#REF!</definedName>
    <definedName name="ね" localSheetId="6">#REF!</definedName>
    <definedName name="ね">#REF!</definedName>
    <definedName name="マツダ" localSheetId="6">#REF!</definedName>
    <definedName name="マツダ">#REF!</definedName>
    <definedName name="まる" localSheetId="6">#REF!</definedName>
    <definedName name="まる">#REF!</definedName>
    <definedName name="ﾒｰｶｰｺｰﾄﾞ" localSheetId="6">#REF!</definedName>
    <definedName name="ﾒｰｶｰｺｰﾄﾞ">#REF!</definedName>
    <definedName name="不具合連絡書">[3]ﾘｽﾄ!$B$430:$B$431</definedName>
    <definedName name="不良項目" localSheetId="6">#REF!</definedName>
    <definedName name="不良項目">#REF!</definedName>
    <definedName name="会社名" localSheetId="6">#REF!</definedName>
    <definedName name="会社名">#REF!</definedName>
    <definedName name="傘NC" localSheetId="6">#REF!</definedName>
    <definedName name="傘NC">#REF!</definedName>
    <definedName name="傘加工" localSheetId="6">#REF!</definedName>
    <definedName name="傘加工">#REF!</definedName>
    <definedName name="先細" localSheetId="6">#REF!</definedName>
    <definedName name="先細">#REF!</definedName>
    <definedName name="入庫" localSheetId="6">#REF!</definedName>
    <definedName name="入庫">#REF!</definedName>
    <definedName name="出力テーブル" localSheetId="6">#REF!</definedName>
    <definedName name="出力テーブル">#REF!</definedName>
    <definedName name="区分" localSheetId="6">#REF!</definedName>
    <definedName name="区分">#REF!</definedName>
    <definedName name="地区ｺｰﾄﾞ" localSheetId="6">#REF!</definedName>
    <definedName name="地区ｺｰﾄﾞ">#REF!</definedName>
    <definedName name="定期製品監査" localSheetId="6">#REF!</definedName>
    <definedName name="定期製品監査">#REF!</definedName>
    <definedName name="定期製品監査新規登録" localSheetId="6">#REF!</definedName>
    <definedName name="定期製品監査新規登録">#REF!</definedName>
    <definedName name="小島" localSheetId="6">#REF!</definedName>
    <definedName name="小島">#REF!</definedName>
    <definedName name="年間まとめ" localSheetId="6">#REF!</definedName>
    <definedName name="年間まとめ">#REF!</definedName>
    <definedName name="扱い区分" localSheetId="6">#REF!</definedName>
    <definedName name="扱い区分">#REF!</definedName>
    <definedName name="有" localSheetId="6">#REF!</definedName>
    <definedName name="有">#REF!</definedName>
    <definedName name="有無" localSheetId="6">#REF!</definedName>
    <definedName name="有無">#REF!</definedName>
    <definedName name="期計分抽出用ﾃﾞｰﾀ" localSheetId="6">#REF!</definedName>
    <definedName name="期計分抽出用ﾃﾞｰﾀ">#REF!</definedName>
    <definedName name="松田">'[5]５・本（鍛造）'!$A$2:$N$821</definedName>
    <definedName name="機械種類">[2]機械台帳!$R$6:$R$936</definedName>
    <definedName name="無" localSheetId="6">#REF!</definedName>
    <definedName name="無">#REF!</definedName>
    <definedName name="発生場所" localSheetId="6">#REF!</definedName>
    <definedName name="発生場所">#REF!</definedName>
    <definedName name="発生状況区分" localSheetId="6">#REF!</definedName>
    <definedName name="発生状況区分">#REF!</definedName>
    <definedName name="目" localSheetId="6">#REF!</definedName>
    <definedName name="目">#REF!</definedName>
    <definedName name="範囲" localSheetId="6">#REF!</definedName>
    <definedName name="範囲">#REF!</definedName>
    <definedName name="粗研" localSheetId="6">#REF!</definedName>
    <definedName name="粗研">#REF!</definedName>
    <definedName name="製造区分" localSheetId="6">#REF!</definedName>
    <definedName name="製造区分">#REF!</definedName>
    <definedName name="製造責任部門" localSheetId="6">#REF!</definedName>
    <definedName name="製造責任部門">#REF!</definedName>
    <definedName name="製造部門" localSheetId="6">#REF!</definedName>
    <definedName name="製造部門">#REF!</definedName>
    <definedName name="製造部門･責任部門" localSheetId="6">#REF!</definedName>
    <definedName name="製造部門･責任部門">#REF!</definedName>
    <definedName name="設備ﾗﾝｸ">[2]機械台帳!$O$6:$P$936</definedName>
    <definedName name="認可書出力テーブル１" localSheetId="6">#REF!</definedName>
    <definedName name="認可書出力テーブル１">#REF!</definedName>
    <definedName name="責任部門" localSheetId="6">#REF!</definedName>
    <definedName name="責任部門">#REF!</definedName>
    <definedName name="車種ｺｰﾄﾞ" localSheetId="6">#REF!</definedName>
    <definedName name="車種ｺｰﾄﾞ">#REF!</definedName>
    <definedName name="選択" localSheetId="6">#REF!</definedName>
    <definedName name="選択">#REF!</definedName>
    <definedName name="部署名" localSheetId="6">#REF!</definedName>
    <definedName name="部署名">#REF!</definedName>
    <definedName name="重要工程" localSheetId="6">#REF!</definedName>
    <definedName name="重要工程">#REF!</definedName>
    <definedName name="重要度区分" localSheetId="6">#REF!</definedName>
    <definedName name="重要度区分">#REF!</definedName>
    <definedName name="関連部門">[3]ﾘｽﾄ!$B$318:$B$363</definedName>
    <definedName name="項目" localSheetId="6">#REF!</definedName>
    <definedName name="項目">#REF!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ＳＷＳｸﾞﾙｰﾌﾟ</author>
  </authors>
  <commentList>
    <comment ref="H16" authorId="0" shapeId="0" xr:uid="{8EB70B3E-D2E9-4ED1-995D-36C4EA8EC58A}">
      <text>
        <r>
          <rPr>
            <b/>
            <sz val="12"/>
            <color indexed="81"/>
            <rFont val="ＭＳ Ｐゴシック"/>
            <family val="3"/>
            <charset val="128"/>
          </rPr>
          <t xml:space="preserve">「-」（半角ﾊｲﾌﾝ）「2」「1」「0」
しか入力できません。
評価対象外の場合は必ず「-」を入力してください。空欄放置されると「０」点みなしする式になっています
</t>
        </r>
      </text>
    </comment>
    <comment ref="I16" authorId="0" shapeId="0" xr:uid="{C530070E-4D44-498B-8209-F8F0F3AAE21B}">
      <text>
        <r>
          <rPr>
            <b/>
            <sz val="12"/>
            <color indexed="81"/>
            <rFont val="ＭＳ Ｐゴシック"/>
            <family val="3"/>
            <charset val="128"/>
          </rPr>
          <t>「●」「○」しか入力できません。
入力を取り消す場合は、「Deleteキー」で。</t>
        </r>
      </text>
    </comment>
    <comment ref="H68" authorId="0" shapeId="0" xr:uid="{781B7C79-0584-45FE-860B-324C048116A0}">
      <text>
        <r>
          <rPr>
            <b/>
            <sz val="12"/>
            <color indexed="81"/>
            <rFont val="ＭＳ Ｐゴシック"/>
            <family val="3"/>
            <charset val="128"/>
          </rPr>
          <t>評価した項目数をｶｳﾝﾄします。
「-」と空白セルは無視します。</t>
        </r>
      </text>
    </comment>
    <comment ref="H70" authorId="0" shapeId="0" xr:uid="{C8D64962-DCDA-4702-84A1-7B227280743D}">
      <text>
        <r>
          <rPr>
            <b/>
            <sz val="12"/>
            <color indexed="81"/>
            <rFont val="ＭＳ Ｐゴシック"/>
            <family val="3"/>
            <charset val="128"/>
          </rPr>
          <t xml:space="preserve">評価のトータル点数を１００点満点の評価に換算します。
（トータル点数は表示されません。）
</t>
        </r>
      </text>
    </comment>
  </commentList>
</comments>
</file>

<file path=xl/sharedStrings.xml><?xml version="1.0" encoding="utf-8"?>
<sst xmlns="http://schemas.openxmlformats.org/spreadsheetml/2006/main" count="865" uniqueCount="685">
  <si>
    <t>BIỂU MẪU QUẢN LÝ NHÀ CUNG CẤP  GIA CÔNG NGOÀI / サプライヤー外注管理様式</t>
  </si>
  <si>
    <t>Mã tài liệu / 文書番号</t>
  </si>
  <si>
    <t>SCM-NCC-01 (Phụ lục biểu mẫu / 添付様式)</t>
  </si>
  <si>
    <t>Phiên bản / 版本</t>
  </si>
  <si>
    <t>Ver 1.0</t>
  </si>
  <si>
    <t>Ngày ban hành / 発行日</t>
  </si>
  <si>
    <t>25/09/2026</t>
  </si>
  <si>
    <t>Tài liệu quy trình đi kèm / 関連規定</t>
  </si>
  <si>
    <t>PMC-105: QUY TRÌNH QUẢN LÝ NHÀ CUNG CẤP GIA CÔNG NGOÀI
(NCC CẤP 1 – NCC CẤP 2)</t>
  </si>
  <si>
    <t>STT</t>
  </si>
  <si>
    <t>Tên sheet
シート名</t>
  </si>
  <si>
    <t>Mục đích sử dụng</t>
  </si>
  <si>
    <t>Số biểu
様式番号</t>
  </si>
  <si>
    <t>01_Danh_sach_NCC</t>
  </si>
  <si>
    <t>Danh mục nhà cung cấp: thông tin liên hệ, mặt hàng, xếp hạng, trạng thái hợp đồng</t>
  </si>
  <si>
    <t>01</t>
  </si>
  <si>
    <t>02_Danh_gia_NCC_moi</t>
  </si>
  <si>
    <t>Phiếu đánh giá năng lực trước khi hợp tác với NCC mới</t>
  </si>
  <si>
    <t>02</t>
  </si>
  <si>
    <t>03_Checksheet_CBSX</t>
  </si>
  <si>
    <t>Check sheet theo dõi tiến độ chuẩn bị sản xuất T0 → MP</t>
  </si>
  <si>
    <t>03</t>
  </si>
  <si>
    <t>04_So_theo_doi_van_de</t>
  </si>
  <si>
    <t>Ghi nhận &amp; theo dõi xử lý vấn đề chất lượng phát sinh với NCC</t>
  </si>
  <si>
    <t>04</t>
  </si>
  <si>
    <t>05_Danh_gia_dinh_ky</t>
  </si>
  <si>
    <t>Bảng chấm điểm, xếp hạng NCC định kỳ theo QCDS</t>
  </si>
  <si>
    <t>05</t>
  </si>
  <si>
    <t>DANH SÁCH NHÀ CUNG CẤP GIA CÔNG NGOÀI / サプライヤー一覧</t>
  </si>
  <si>
    <t>Mã NCC
コード</t>
  </si>
  <si>
    <t>Tên nhà cung cấp
サプライヤー名</t>
  </si>
  <si>
    <t>Mặt hàng cung cấp
供給品目</t>
  </si>
  <si>
    <t>Địa chỉ
所在地</t>
  </si>
  <si>
    <t>Người liên hệ
担当者</t>
  </si>
  <si>
    <t>Điện thoại/Email
電話/メール</t>
  </si>
  <si>
    <t>Bộ phận phụ trách
管理部署</t>
  </si>
  <si>
    <t>Ngày ĐG
gần nhất
最終評価日</t>
  </si>
  <si>
    <t>Xếp hạng
ランク</t>
  </si>
  <si>
    <t xml:space="preserve">Trạng thái
hợp đồng
契約状況</t>
  </si>
  <si>
    <t>Ví dụ dữ liệu thực tế (dòng máy SK03) — các cột chưa có dữ liệu gốc (Mã NCC, người liên hệ, ngày đánh giá, xếp hạng, trạng thái hợp đồng) cần bổ sung khi áp dụng:</t>
  </si>
  <si>
    <t>ASTEE HORIE VN</t>
  </si>
  <si>
    <t>Chuyển hàng đúc của Kyowa sang NCC để sơn/mạ</t>
  </si>
  <si>
    <t>Bình Dương</t>
  </si>
  <si>
    <t>Mua hàng + IQC + Kỹ thuật</t>
  </si>
  <si>
    <t>ELEMATEC HK</t>
  </si>
  <si>
    <t>Nhà cung cấp nước ngoài</t>
  </si>
  <si>
    <t>Nước ngoài</t>
  </si>
  <si>
    <t>Mua hàng + IQC</t>
  </si>
  <si>
    <t>ELEMATEC VN</t>
  </si>
  <si>
    <t>HPSP</t>
  </si>
  <si>
    <t>Sản xuất bìa carton</t>
  </si>
  <si>
    <t>Hải Phòng</t>
  </si>
  <si>
    <t>KAGA ELECTRONICS VN</t>
  </si>
  <si>
    <t>Sản xuất bo mạch</t>
  </si>
  <si>
    <t>Hưng Yên</t>
  </si>
  <si>
    <t>KHANG TRANG</t>
  </si>
  <si>
    <t>Xốp, túi chống ẩm đóng gói</t>
  </si>
  <si>
    <t>-</t>
  </si>
  <si>
    <t>LONGTECH</t>
  </si>
  <si>
    <t>Lò xo, trục shaft</t>
  </si>
  <si>
    <t>Bắc Ninh</t>
  </si>
  <si>
    <t>MORISO JP</t>
  </si>
  <si>
    <t>OOSAKI</t>
  </si>
  <si>
    <t>Orient System</t>
  </si>
  <si>
    <t>Dây điện (harness)</t>
  </si>
  <si>
    <t>WOOBONGPRECISIONVN</t>
  </si>
  <si>
    <t>Linh kiện sắt (板金)</t>
  </si>
  <si>
    <t>Bắc Giang</t>
  </si>
  <si>
    <t>PHIẾU ĐÁNH GIÁ NHÀ CUNG CẤP MỚI (GIA CÔNG NGOÀI) / 新規サプライヤー評価表</t>
  </si>
  <si>
    <t>Tên nhà cung cấp / サプライヤー名</t>
  </si>
  <si>
    <t>Mặt hàng đánh giá / 評価品目</t>
  </si>
  <si>
    <t>Ngày đánh giá / 評価日</t>
  </si>
  <si>
    <t>Người đánh giá / 評価者</t>
  </si>
  <si>
    <t>Nhóm tiêu chí
評価分野</t>
  </si>
  <si>
    <t>Tiêu chí chi tiết
詳細評価項目</t>
  </si>
  <si>
    <t>Trọng số (%)
ウェイト</t>
  </si>
  <si>
    <t>Điểm (1-5)
点数</t>
  </si>
  <si>
    <t>Điểm quy đổi
換算点</t>
  </si>
  <si>
    <t>Ghi chú
備考</t>
  </si>
  <si>
    <t>Năng lực sản xuất
生産能力</t>
  </si>
  <si>
    <t>Công nghệ, máy móc, công suất đáp ứng đơn hàng</t>
  </si>
  <si>
    <t>Hệ thống quản lý chất lượng
品質管理体制</t>
  </si>
  <si>
    <t>Chứng chỉ ISO 9001/tiêu chuẩn ngành, kiểm soát quá trình</t>
  </si>
  <si>
    <t xml:space="preserve">Chấm theo kết quả Check sheet đánh giá NCC (file 3, sheet rút gọn), thang 100: ≥90 → 5; 80–89 → 4; 70–79 → 3; 60–69 → 2; &lt;60 → 1</t>
  </si>
  <si>
    <t>Năng lực tài chính
財務能力</t>
  </si>
  <si>
    <t>Tình hình tài chính, khả năng đầu tư duy trì sản xuất</t>
  </si>
  <si>
    <t>Năng lực giao hàng
納期対応力</t>
  </si>
  <si>
    <t>Vị trí địa lý, năng lực vận chuyển, khả năng đáp ứng gấp</t>
  </si>
  <si>
    <t>Giá cả &amp; điều kiện thương mại
価格・取引条件</t>
  </si>
  <si>
    <t>Tính cạnh tranh về giá, điều khoản thanh toán</t>
  </si>
  <si>
    <t>Mức độ hợp tác/giao tiếp
協力度・コミュニケーション</t>
  </si>
  <si>
    <t>Thái độ hợp tác, khả năng giao tiếp/ngôn ngữ</t>
  </si>
  <si>
    <t>TỔNG ĐIỂM / 合計点</t>
  </si>
  <si>
    <t>KẾT LUẬN / 結論 (≥80: Đạt · 60-79: Đạt có điều kiện · &lt;60: Không đạt)</t>
  </si>
  <si>
    <t>CHECK SHEET CHUẨN BỊ SẢN XUẤT (ĐÁNH GIÁ NCC GIA CÔNG NGOÀI) / 生産準備チェックシート</t>
  </si>
  <si>
    <t>Mã sản phẩm / 品番</t>
  </si>
  <si>
    <t>Tên sản phẩm / 品名</t>
  </si>
  <si>
    <t>Nhà cung cấp / サプライヤー</t>
  </si>
  <si>
    <t>Khách hàng / お客様</t>
  </si>
  <si>
    <t>Ký hiệu / 記号:</t>
  </si>
  <si>
    <t>O = Đạt/OK   X = Không đạt/NG   Δ = Chỉnh sửa 1 phần/一部修正</t>
  </si>
  <si>
    <t>Hạng mục
項目</t>
  </si>
  <si>
    <t>Nội dung cần thực hiện
作成項目</t>
  </si>
  <si>
    <t>T0</t>
  </si>
  <si>
    <t>T1</t>
  </si>
  <si>
    <t>T2</t>
  </si>
  <si>
    <t>PP</t>
  </si>
  <si>
    <t>Mihonki</t>
  </si>
  <si>
    <t>MP</t>
  </si>
  <si>
    <t>Người đảm nhiệm
担当者</t>
  </si>
  <si>
    <t>Kỳ hạn
納期</t>
  </si>
  <si>
    <t>Người xác nhận
thực tế
実績確認者</t>
  </si>
  <si>
    <t>Đánh giá
評価</t>
  </si>
  <si>
    <t>Chuẩn bị nguyên liệu
材料準備</t>
  </si>
  <si>
    <t>Chủng loại nguyên liệu khách hàng chỉ thị (phải ghi rõ chủng loại)
顧客指定の材料種類（種類を明記すること）</t>
  </si>
  <si>
    <t>Mua hàng</t>
  </si>
  <si>
    <t>Chủng loại nguyên liệu Mua hàng chỉ thị cho NCC (phải ghi rõ chủng loại)
購買指定の材料種類（サプライヤー指定、具体的な種類を記載すること）</t>
  </si>
  <si>
    <t>Nhà cung cấp phát hành PO đặt chủng loại nguyên vật liệu
仕入先が材料種類を指定したPOを発行する</t>
  </si>
  <si>
    <t>Tiến hành sản xuất
生産を実施する</t>
  </si>
  <si>
    <t>Ngày sản xuất thực tế từ giai đoạn chạy thử đến khi đại trà
試作段階から量産までの実際の生産日</t>
  </si>
  <si>
    <t>Bản vẽ đã sử dụng đúng với bản vẽ khách hàng chỉ thị chưa
使用図面は顧客指定図面と一致しているか</t>
  </si>
  <si>
    <t>Điều kiện sản xuất
生産条件</t>
  </si>
  <si>
    <t>IQC</t>
  </si>
  <si>
    <t>Biểu ghi chép nguyên liệu
材料記録表</t>
  </si>
  <si>
    <t>Nguyên liệu thực tế sử dụng (phải ghi rõ chủng loại)
実際に使用した材料（種類を明記すること）</t>
  </si>
  <si>
    <t>Xác nhận ngoại quan + kích thước sản phẩm
製品の外観および寸法確認</t>
  </si>
  <si>
    <t>Xác nhận hình dạng có giống với bản vẽ không
形状が図面通りであるか確認する</t>
  </si>
  <si>
    <t>Xác nhận kích thước đo thực tế nằm trong dung sai bản vẽ
実測寸法が図面寸法の公差範囲内であることを確認する</t>
  </si>
  <si>
    <t>Trường hợp kích thước NG (ngoài tiêu chuẩn khách hàng) thì xác nhận với NCC phương pháp xử lý tiếp theo
寸法評価がNG（顧客基準外）の場合、仕入先と今後の処置方法を確認する。</t>
  </si>
  <si>
    <t>Báo cáo cấp trên kích thước bị NG
寸法NGについて上司へ報告する</t>
  </si>
  <si>
    <t>Gửi kết quả đo cho khách hàng xin chỉ thị, xác nhận có được phép xuất hàng không
測定結果を顧客へ提出し、指示を受け、出荷可否を確認する。</t>
  </si>
  <si>
    <t>Kinh doanh</t>
  </si>
  <si>
    <t>Trường hợp không được phép, kết hợp với NCC đưa phương án xử lý
出荷不可の場合、仕入先と協力して対応方法を検討する。</t>
  </si>
  <si>
    <t>Mua hàng+IQC</t>
  </si>
  <si>
    <t>Trường hợp cần nới rộng tiêu chuẩn từ khách hàng, gửi tài liệu xin chấp thuận
顧客基準の緩和が必要な場合、承認依頼書を提出し、顧客の承認を取得する。</t>
  </si>
  <si>
    <t>Xác nhận kết quả phản hồi từ khách hàng, triển khai thông tin cho NCC
顧客からの回答結果を確認し、その後、仕入先へ情報展開する。</t>
  </si>
  <si>
    <t>Xử lý điểm vấn đề phát sinh
発生した問題点の処置</t>
  </si>
  <si>
    <t>Nắm được điểm vấn đề tồn đọng ở các giai đoạn
各工程における未解決問題点を把握する</t>
  </si>
  <si>
    <t>Phương pháp xử lý giải quyết vấn đề (thảo luận cùng khách hàng, công ty, NCC)
問題点を解決するための対応方法（顧客・当社・仕入先と協議する）</t>
  </si>
  <si>
    <t>Đưa ra kỳ hạn, người hoàn thành với từng hạng mục
各項目について期限および担当者を設定する</t>
  </si>
  <si>
    <t>Xác nhận thực tế hiện trường các vấn đề đã giải quyết xong chưa
現場で問題点が解決済みであるか確認する</t>
  </si>
  <si>
    <t>Đóng gói
梱包</t>
  </si>
  <si>
    <t>Thống nhất phương pháp đóng gói
梱包方法を決定する</t>
  </si>
  <si>
    <t>Tiến hành đóng gói sản phẩm (kỳ hạn đóng gói)
製品の梱包を実施する（梱包期限）</t>
  </si>
  <si>
    <t>NCC</t>
  </si>
  <si>
    <t>Xuất hàng
出荷</t>
  </si>
  <si>
    <t>Lịch hàng phải đến bên khách hàng
顧客到着予定日</t>
  </si>
  <si>
    <t>Lịch xuất hàng từ bên nhà cung cấp
仕入先からの出荷予定日</t>
  </si>
  <si>
    <t>Lịch xuất hàng thực tế của nhà cung cấp
仕入先の実際の出荷日</t>
  </si>
  <si>
    <t>Thay đổi thiết kế
設変</t>
  </si>
  <si>
    <t>Xác nhận có thay đổi thiết kế không (có/không)
設計変更有無確認（有・無）</t>
  </si>
  <si>
    <t>Đã triển khai nội dung thay đổi thiết kế cho NCC chưa
設計変更内容を仕入先へ展開済みか確認する</t>
  </si>
  <si>
    <t>NCC gửi lịch trình đối ứng thay đổi thiết kế
仕入先は設計変更対応スケジュールを提出する</t>
  </si>
  <si>
    <t>Mua hàng dựa vào lịch trình thường xuyên cập nhật kế hoạch
購買部門はスケジュールに基づき、計画を定期的に更新する</t>
  </si>
  <si>
    <t>Nếu không đúng tiến độ báo cáo xin chỉ thị cấp trên; nếu đúng tiến độ liên kết các phòng ban lên lịch đánh giá theo check sheet CBSX
スケジュール通りに進まない場合は、上司へ報告し指示を受ける。</t>
  </si>
  <si>
    <t>Xử lý linh kiện cũ tránh nhầm lẫn hàng trước/sau thay đổi
旧部品の処置を実施し、変更前品と変更後品が混在しないように管理する。</t>
  </si>
  <si>
    <t>Update tài liệu sau thay đổi thiết kế
設計変更後の資料を更新する</t>
  </si>
  <si>
    <t>Xác nhận tài liệu công đoạn
工程資料を確認する</t>
  </si>
  <si>
    <t>Lập bảng tiêu chuẩn thao tác (TTTT)
作業手順書作成</t>
  </si>
  <si>
    <t>Trọng điểm kiểm tra trong công đoạn
工程内重点確認項目</t>
  </si>
  <si>
    <t>Mẫu giới hạn
限度見本</t>
  </si>
  <si>
    <t>Chuẩn bị vật mẫu giới hạn
限度見本を準備する</t>
  </si>
  <si>
    <t>Lập list mẫu giới hạn
限度見本リスト</t>
  </si>
  <si>
    <t>Gửi khách hàng xác nhận
顧客へ提出し、確認を依頼する</t>
  </si>
  <si>
    <t>Khách hàng gửi lại mẫu cho công ty, NCC
顧客より当社・仕入先へサンプルを返送</t>
  </si>
  <si>
    <t>Kiểm tra tiếp nhận / phát sinh lỗi tại công đoạn
受入検査（または工程内での不具合発生）</t>
  </si>
  <si>
    <t>Nhận linh kiện mẫu từ khách hàng
顧客から部品サンプルを受領する</t>
  </si>
  <si>
    <t>Kiểm tra tiếp nhận, so sánh với mẫu khách hàng cấp
受入検査を実施し、顧客支給サンプルと比較確認する</t>
  </si>
  <si>
    <t>Xác nhận kết quả dữ liệu NCC (kích thước + nguyên vật liệu) có đúng yêu cầu khách hàng không
仕入先データの結果が顧客要求を満たしているか確認する</t>
  </si>
  <si>
    <t>Nếu không đạt tiêu chuẩn/phát sinh lỗi, yêu cầu NCC điều tra nguyên nhân và đưa đối sách (kèm kỳ hạn)
規格外・不良発生の場合、仕入先へ原因調査および対策提出を要求する。</t>
  </si>
  <si>
    <t>Xác nhận NCC đã gửi lại bảng điều tra nguyên nhân/đối sách chưa (nếu chưa tiếp tục follow)
仕入先から対策書が提出済みか確認する。未提出の場合は継続してフォローする。</t>
  </si>
  <si>
    <t>Xác nhận hiệu quả sau khi thực hiện đối sách; nếu không hiệu quả tiếp tục follow yêu cầu cải tiến
対策実施後の効果を確認する。効果がない場合は改善を要求する。</t>
  </si>
  <si>
    <t>Chú ý / 備考:</t>
  </si>
  <si>
    <t>* Mỗi giai đoạn chạy thử sẽ xác nhận với NCC các hạng mục theo Check sheet CBSX này / 各試作段階において、本チェックシートに基づき仕入先と確認項目を確認する。</t>
  </si>
  <si>
    <t>* Kết quả check của mỗi giai đoạn sẽ gửi lại cho khách hàng / 各段階の確認完了後、その結果をお客様へ報告する。</t>
  </si>
  <si>
    <t>* Toàn bộ hạng mục phải hoàn thành trước khi vào sản xuất hàng loạt (MP) / 量産開始前に全項目を完了させること。</t>
  </si>
  <si>
    <t>SỔ THEO DÕI VẤN ĐỀ - NGUYÊN NHÂN - ĐỐI SÁCH QUẢN LÝ NCC GIA CÔNG NGOÀI/ 問題管理表</t>
  </si>
  <si>
    <t>Mã SP/
Model</t>
  </si>
  <si>
    <t>Ngày phát
hiện
発生日</t>
  </si>
  <si>
    <t>Giai đoạn
イベント</t>
  </si>
  <si>
    <t>Mô tả vấn đề
問題内容</t>
  </si>
  <si>
    <t>Nguyên nhân
原因</t>
  </si>
  <si>
    <t>Đối sách
対策</t>
  </si>
  <si>
    <t>Người đảm
nhiệm
担当者</t>
  </si>
  <si>
    <t>KQ theo dõi
lần 1
1回目結果</t>
  </si>
  <si>
    <t>Ngày</t>
  </si>
  <si>
    <t>KQ theo dõi
lần 2
2回目結果</t>
  </si>
  <si>
    <t>KQ theo dõi
lần 3
3回目結果</t>
  </si>
  <si>
    <t>Xác nhận
trước MP
量産前確認</t>
  </si>
  <si>
    <t>BẢNG ĐÁNH GIÁ ĐỊNH KỲ NHÀ CUNG CẤP (QCDS) / 定期評価表</t>
  </si>
  <si>
    <t>Kỳ đánh giá (Quý/Năm) / 評価期間</t>
  </si>
  <si>
    <t>Tiêu chí
評価項目</t>
  </si>
  <si>
    <t>Diễn giải
説明</t>
  </si>
  <si>
    <t>Bộ phận
đánh giá
評価部署</t>
  </si>
  <si>
    <t>Điểm (1-5)
点数
评分</t>
  </si>
  <si>
    <t>Chất lượng (Quality)
品質</t>
  </si>
  <si>
    <t>Tỷ lệ lỗi/NG, mức độ ổn định quá trình, số lần phát sinh CAR</t>
  </si>
  <si>
    <t>Chi phí (Cost)
コスト</t>
  </si>
  <si>
    <t>Tính cạnh tranh về giá, thiện chí đàm phán, chi phí phát sinh do lỗi</t>
  </si>
  <si>
    <t>Giao hàng (Delivery)
納期</t>
  </si>
  <si>
    <t>Tỷ lệ giao đúng hạn, khả năng đáp ứng đơn hàng gấp</t>
  </si>
  <si>
    <t>Dịch vụ &amp; hợp tác (Service)
サービス</t>
  </si>
  <si>
    <t>Tốc độ phản hồi, hỗ trợ kỹ thuật, thái độ hợp tác</t>
  </si>
  <si>
    <t xml:space="preserve">Mua hàng</t>
  </si>
  <si>
    <t>Năng lực kỹ thuật &amp; cải tiến
技術力・改善力</t>
  </si>
  <si>
    <t>Khả năng cải tiến, đề xuất tối ưu quy trình/chi phí</t>
  </si>
  <si>
    <t xml:space="preserve">IQC + Mua hàng</t>
  </si>
  <si>
    <t>XẾP HẠNG / ランク (A≥90 · B75-89 · C60-74 · D&lt;60)</t>
  </si>
  <si>
    <t>Hành động theo xếp hạng / ランク別対応:</t>
  </si>
  <si>
    <t>A (≥90): Ưu tiên tăng đơn hàng, hợp tác dài hạn / 優先発注拡大、長期協力</t>
  </si>
  <si>
    <t>B (75-89): Duy trì hợp tác, tiếp tục theo dõi cải tiến / 維持、改善フォロー</t>
  </si>
  <si>
    <t>C (60-74): Yêu cầu kế hoạch cải tiến (CAR), tái đánh giá sau 3-6 tháng / 改善計画要求、3-6ヶ月後再評価</t>
  </si>
  <si>
    <t>D (&lt;60): Hạn chế đơn hàng mới, lập kế hoạch tìm NCC thay thế / 新規発注制限、代替サプライヤー検討</t>
  </si>
  <si>
    <t>BẢNG PHÂN CÔNG TRÁCH NHIỆM (RACI) / 責任分担表</t>
  </si>
  <si>
    <t>Hạng mục công việc
項目</t>
  </si>
  <si>
    <t>Mua hàng
購買</t>
  </si>
  <si>
    <t>Kỹ thuật/
Lắp ráp
技術</t>
  </si>
  <si>
    <t>Tìm kiếm &amp; lựa chọn NCC mới</t>
  </si>
  <si>
    <t>C</t>
  </si>
  <si>
    <t>R</t>
  </si>
  <si>
    <t>I</t>
  </si>
  <si>
    <t>Đánh giá &amp; phê duyệt NCC mới</t>
  </si>
  <si>
    <t>A</t>
  </si>
  <si>
    <t>Ký NDA / hợp đồng, phát hành PO</t>
  </si>
  <si>
    <t>Quản lý CBSX (T0 → PP → Mihonki → MP)</t>
  </si>
  <si>
    <t>Kiểm tra tiếp nhận &amp; xử lý lỗi chất lượng</t>
  </si>
  <si>
    <t>Lập &amp; theo dõi phiếu CAR (đối sách)</t>
  </si>
  <si>
    <t>Đánh giá định kỳ NCC (QCDS)</t>
  </si>
  <si>
    <t>Quản lý thay đổi thiết kế / nguyên liệu</t>
  </si>
  <si>
    <t>Đóng gói &amp; xuất hàng</t>
  </si>
  <si>
    <t>Chú thích / 凡例:</t>
  </si>
  <si>
    <t>R = Responsible: Người trực tiếp thực hiện / 実施者</t>
  </si>
  <si>
    <t>A = Accountable: Người chịu trách nhiệm cuối cùng, phê duyệt / 最終責任者</t>
  </si>
  <si>
    <t>C = Consulted: Người được tham vấn ý kiến / 協議先</t>
  </si>
  <si>
    <t>I = Informed: Người được thông báo kết quả / 報告先</t>
  </si>
  <si>
    <t>KẾ HOẠCH ĐÀO TẠO NHÂN VIÊN MUA HÀNG TRỞ THÀNH NGƯỜI ĐÁNH GIÁ NCC GIA CÔNG NGOÀI / 購買担当者 外注仕入先評価者 育成計画表</t>
  </si>
  <si>
    <t>Học viên / 受講者氏名</t>
  </si>
  <si>
    <t>Bộ phận / 部署</t>
  </si>
  <si>
    <t>Mua hàng / 購買</t>
  </si>
  <si>
    <t xml:space="preserve">Người hướng dẫn / 指導者</t>
  </si>
  <si>
    <t>Ngày bắt đầu / 開始日</t>
  </si>
  <si>
    <t>← Nhập ngày bắt đầu: tiêu đề tháng T1–T6 và ngày hoàn thành tự cập nhật / 開始日を入力すると月欄・完了予定日が自動更新</t>
  </si>
  <si>
    <t>Dự kiến hoàn thành / 完了予定日</t>
  </si>
  <si>
    <t>Mục tiêu / 目標</t>
  </si>
  <si>
    <t>Tự đảm nhiệm quản lý NCC gia công ngoài từ giai đoạn lựa chọn NCC đến sản xuất thử trước MP (bước 1–6, Quy trình PMC-105) và trực tiếp sang NCC đánh giá đầy đủ (Check sheet đánh giá NCC, QLGCN-02, QLGCN-05).
外注仕入先の選定から量産前試作まで（PMC-105 手順1～6）を自ら管理し、仕入先の現地評価（チェックシート、QLGCN-02、QLGCN-05）を単独で完全に実施できること。</t>
  </si>
  <si>
    <t>Nguyên tắc / 基本方針</t>
  </si>
  <si>
    <t>Học nội bộ tại các bộ phận/công đoạn trong công ty trước (GĐ 1–2) → mang kiến thức đó sang đánh giá NCC cùng người hướng dẫn (GĐ 3) → đánh giá độc lập, được công nhận và tiếp tục trau dồi (GĐ 4).
まず社内の各部署・工程で学び（段階1～2）、その知識を活かして指導者と共に仕入先を評価し（段階3）、単独評価・認定後も継続して研鑽する（段階4）。</t>
  </si>
  <si>
    <t>Tháng thực tế (tự tính từ ngày bắt đầu) / 実施月 →</t>
  </si>
  <si>
    <t>STT
No.</t>
  </si>
  <si>
    <t>Giai đoạn
段階</t>
  </si>
  <si>
    <t>Nội dung học
教育内容</t>
  </si>
  <si>
    <t>Nơi học – Người hướng dẫn – Hình thức
教育場所・指導者・方法</t>
  </si>
  <si>
    <t>Thời lượng
期間</t>
  </si>
  <si>
    <t>Năng lực liên quan (No.)
関連スキル</t>
  </si>
  <si>
    <t>Bước lưu trình / Biểu mẫu
関連手順・様式</t>
  </si>
  <si>
    <t>Đầu ra – Tiêu chí đạt
成果物・合格基準</t>
  </si>
  <si>
    <t>T3</t>
  </si>
  <si>
    <t>T4</t>
  </si>
  <si>
    <t>T5</t>
  </si>
  <si>
    <t>T6</t>
  </si>
  <si>
    <t>Người xác nhận
確認者</t>
  </si>
  <si>
    <t>Ngày hoàn thành
完了日</t>
  </si>
  <si>
    <t>Kết quả
評価</t>
  </si>
  <si>
    <t>1.1</t>
  </si>
  <si>
    <t>GĐ 1
HỌC NỘI BỘ TẠI CÁC BỘ PHẬN / CÔNG ĐOẠN
段階1
社内各部署・工程での教育</t>
  </si>
  <si>
    <t>Kế hoạch sản xuất (KHSX): cách lập kế hoạch SX, xác nhận năng lực SX nội bộ để quyết định ủy thác gia công; FC/PO; lập kế hoạch sản xuất thử.
生産計画の立て方、外部委託判断のための社内能力確認、FC・PO、試作計画の作成。</t>
  </si>
  <si>
    <t>Bộ phận KHSX – Trưởng bộ phận
Lý thuyết + OJT
生産管理（座学・OJT）</t>
  </si>
  <si>
    <t>1 tuần
1週間</t>
  </si>
  <si>
    <t>4, 6</t>
  </si>
  <si>
    <t>Bước 1, 5, 7</t>
  </si>
  <si>
    <t>Giải thích được căn cứ quyết định ủy thác; tự lập kế hoạch SX thử cho 1 model.
外部委託の判断根拠を説明でき、1機種の試作計画を作成できる。</t>
  </si>
  <si>
    <t>■</t>
  </si>
  <si>
    <t>1.2</t>
  </si>
  <si>
    <t>Kho: nhận hàng, đối chiếu PO/biên bản giao hàng, nhập kho chờ kiểm tra, FIFO; quản lý và cấp NVL/bao bì cho NCC.
倉庫：受入、PO・納品書との照合、検査待ち入庫、先入先出、仕入先への材料・梱包材支給。</t>
  </si>
  <si>
    <t>Kho – Trưởng kho
OJT
倉庫（OJT）</t>
  </si>
  <si>
    <t>3 ngày
3日</t>
  </si>
  <si>
    <t>4, 7</t>
  </si>
  <si>
    <t>Bước 7, 9</t>
  </si>
  <si>
    <t>Tự thực hiện 1 lần nhận hàng và đối chiếu số lượng đúng quy định.
受入・数量照合を1回、規定通りに実施できる。</t>
  </si>
  <si>
    <t>1.3</t>
  </si>
  <si>
    <t>Sản xuất – Đúc nhựa (TRỌNG TÂM): sấy NVL → ép → cắt gate → kiểm tra → đóng gói; đặc tính nhựa PC/ABS/POM, điều kiện sấy; máy ép, khuôn, thay khuôn; Bảng điều kiện ép, Lịch sử nạp NVL; lỗi đúc (bavia, thiếu liệu, co ngót, cong vênh, bọt khí, vết hàn, cháy) và nguyên nhân; quản lý 4M.
成形（重点）：材料乾燥→成形→ゲートカット→検査→梱包、PC・ABS・POMの特性と乾燥条件、成形機・金型・段取り替え、成形条件表・材料投入履歴、成形不良（バリ、ショート、ヒケ、反り、ボイド、ウェルド、焼け）と原因、4M管理。</t>
  </si>
  <si>
    <t>Xưởng Đúc nhựa – Tổ trưởng / KTV đúc
OJT tại hiện trường
成形職場（現場OJT）</t>
  </si>
  <si>
    <t>3 tuần
3週間</t>
  </si>
  <si>
    <t>1, 2</t>
  </si>
  <si>
    <t>Bước 4, 5, 8
QLGCN-03</t>
  </si>
  <si>
    <t>Đọc, giải thích được Bảng điều kiện ép; nhận biết ≥7 dạng lỗi đúc và nguyên nhân; bài kiểm tra do Tổ trưởng đúc chấm ≥80 điểm.
成形条件表を説明でき、成形不良7種以上と原因を判別できる。確認テスト80点以上。</t>
  </si>
  <si>
    <t>1.4</t>
  </si>
  <si>
    <t>Kỹ thuật / Lắp ráp: đọc bản vẽ 2D/3D, dung sai, ký hiệu dung sai hình học cơ bản, kích thước quan trọng; vị trí lắp và chức năng linh kiện trong máy in → điểm quản lý trọng yếu; quy trình thay đổi thiết kế; tài liệu công đoạn, mẫu giới hạn.
技術・組立：2D/3D図面、公差、幾何公差の基礎、重要寸法、プリンター内での組付位置と機能→重点管理項目、設計変更の流れ、工程資料、限度見本。</t>
  </si>
  <si>
    <t>Phòng Kỹ thuật + Line lắp ráp – Kỹ sư phụ trách
Lý thuyết + OJT
技術・組立（座学・OJT）</t>
  </si>
  <si>
    <t>2 tuần
2週間</t>
  </si>
  <si>
    <t>1</t>
  </si>
  <si>
    <t>Bước 4, 13
QLGCN-03</t>
  </si>
  <si>
    <t>Đọc đúng 3 bản vẽ thực tế (chỉ ra kích thước quan trọng, dung sai); trình bày được luồng xử lý 1 thay đổi thiết kế.
実図面3枚で重要寸法・公差を正しく指摘でき、設変1件の流れを説明できる。</t>
  </si>
  <si>
    <t>1.5</t>
  </si>
  <si>
    <t>Chất lượng / IQC: tiêu chuẩn kiểm tra, lấy mẫu kiểm tra, dụng cụ đo (thước cặp, panme, đồng hồ so…), kiểm tra ngoại quan theo mẫu giới hạn; xử lý hàng NG, lập CAR; 5-Why, QC 7 Tools, Pareto; ISO 9001 cơ bản.
品質・受入検査：検査基準、抜取検査、測定具（ノギス、マイクロメータ、ダイヤルゲージ等）、限度見本による外観検査、不良品処置・CAR、なぜなぜ分析、QC7つ道具、パレート図、ISO 9001の基礎。</t>
  </si>
  <si>
    <t>Phòng Chất lượng (IQC) – Trưởng IQC
Lý thuyết + OJT
品質管理（座学・OJT）</t>
  </si>
  <si>
    <t>Bước 6, 10, 11
QLGCN-04</t>
  </si>
  <si>
    <t>Tự đo và đánh giá 1 lô hàng; viết 1 bản phân tích 5-Why cho lỗi thực tế; kiểm tra ISO 9001 cơ bản ≥70 điểm.
1ロットを自ら測定・判定し、実不良のなぜなぜ分析を1件作成。ISO基礎テスト70点以上。</t>
  </si>
  <si>
    <t>1.6</t>
  </si>
  <si>
    <t xml:space="preserve">Nghiệp vụ Mua hàng: quy trình PMC-105 (15 bước); RFQ và so sánh báo giá; hợp đồng khung (điều khoản chất lượng, bảo mật thông tin, truyền đạt yêu cầu cho NCC cấp 2, báo trước thay đổi 4M); PO/FC, đối chiếu thanh toán; đàm phán; rủi ro chuỗi cung ứng.
購買業務：PMC-105（15手順）、RFQと見積比較、取引基本契約（品質条項、秘密保持、二次仕入先への要求伝達、4M変更の事前連絡）、PO・FC、支払照合、交渉、サプライチェーンリスク。</t>
  </si>
  <si>
    <t>Phòng Mua hàng – Trưởng phòng
Lý thuyết + OJT (song song)
購買（座学・OJT、並行）</t>
  </si>
  <si>
    <t>Song song
並行</t>
  </si>
  <si>
    <t>4, 6, 7</t>
  </si>
  <si>
    <t>Bước 1, 3, 7, 12
QLGCN-01</t>
  </si>
  <si>
    <t>Lập 1 bộ RFQ + bảng so sánh báo giá; giải thích được các điều khoản chính của hợp đồng mẫu.
RFQ一式と見積比較表を作成し、契約書の主要条項を説明できる。</t>
  </si>
  <si>
    <t>2.1</t>
  </si>
  <si>
    <t>GĐ 2
HỌC QUY TRÌNH &amp; KỸ NĂNG ĐÁNH GIÁ NCC
段階2
仕入先評価の手順・スキル</t>
  </si>
  <si>
    <t>Biểu mẫu quản lý NCC: cách ghi và chấm điểm QLGCN-01~05; Check sheet đánh giá NCC (50 hạng mục, 0–1–2 điểm, hạng mục NCC cấp 2); tiêu chí Đạt / Đạt có điều kiện / Không đạt; xếp hạng A–D.
仕入先管理様式：QLGCN-01～05の記入・採点方法、品質システム監査チェックシート（50項目、0・1・2点、二次仕入先項目）、合否基準、A～Dランク。</t>
  </si>
  <si>
    <t xml:space="preserve">Mua hàng + IQC – Người đánh giá có kinh nghiệm
Lý thuyết + bài tập
評価経験者（座学・演習）</t>
  </si>
  <si>
    <t>3, 6</t>
  </si>
  <si>
    <t>Bước 2, 14, 15
QLGCN-01~05
Check sheet</t>
  </si>
  <si>
    <t xml:space="preserve">Chấm thử Check sheet trên hồ sơ 1 NCC hiện có; chênh lệch tổng điểm so với người hướng dẫn ≤10%.
既存仕入先1社の資料で試し採点し、指導者との差が10%以内。</t>
  </si>
  <si>
    <t>2.2</t>
  </si>
  <si>
    <t>Kỹ năng đánh giá (audit): lập kế hoạch đánh giá; checklist theo loại NCC (đúc nhựa, sơn/mạ, kim loại tấm, bo mạch, bao bì); phỏng vấn, quan sát hiện trường, thu thập bằng chứng; viết báo cáo, lập CAR.
監査スキル：監査計画、仕入先種別（成形、塗装・めっき、板金、基板、梱包材）のチェックリスト、ヒアリング・現場観察・証拠収集、報告書・CAR作成。</t>
  </si>
  <si>
    <t xml:space="preserve">IQC / Quản lý Mua hàng
Lý thuyết + đóng vai
品証・購買管理者（座学・ロールプレイ）</t>
  </si>
  <si>
    <t>3, 7</t>
  </si>
  <si>
    <t>Bước 2, 14
Check sheet</t>
  </si>
  <si>
    <t xml:space="preserve">Lập kế hoạch + checklist đánh giá cho 1 NCC cụ thể, được Quản lý Mua hàng duyệt.
特定仕入先1社の監査計画・チェックリストを作成し、購買管理者の承認を得る。</t>
  </si>
  <si>
    <t>2.3</t>
  </si>
  <si>
    <t>Tham gia đánh giá nội bộ ISO 9001 của công ty với vai trò quan sát viên (theo lịch đánh giá nội bộ, nếu có).
社内ISO 9001内部監査にオブザーバーとして参加（内部監査日程に合わせる、該当時）。</t>
  </si>
  <si>
    <t>Ban ISO / QA
Quan sát thực tế
ISO事務局（オブザーバー）</t>
  </si>
  <si>
    <t>1–2 ngày
1～2日</t>
  </si>
  <si>
    <t>2, 3</t>
  </si>
  <si>
    <t>–</t>
  </si>
  <si>
    <t>Nộp biên bản ghi chép quan sát và 3 điểm học được.
観察記録と学んだ点3つを提出。</t>
  </si>
  <si>
    <t>2.4</t>
  </si>
  <si>
    <t>Ngoại ngữ chuyên ngành: thuật ngữ tiếng Nhật về đúc nhựa và chất lượng (成形、バリ、ヒケ、4M変更、是正処置…); đọc hiểu biểu mẫu song ngữ; tiếng Trung/Anh khi làm việc với NCC nước ngoài.
専門語学：成形・品質関連の日本語用語、二か国語様式の読解、海外仕入先対応の中国語・英語。</t>
  </si>
  <si>
    <t>Tự học + phiên dịch nội bộ hỗ trợ
自主学習・社内通訳支援</t>
  </si>
  <si>
    <t>Suốt kỳ
期間中継続</t>
  </si>
  <si>
    <t>5</t>
  </si>
  <si>
    <t>Lập bảng thuật ngữ ≥100 từ; tự đọc hiểu Check sheet song ngữ.
用語集100語以上を作成し、二か国語チェックシートを自力で読解できる。</t>
  </si>
  <si>
    <t>2.5</t>
  </si>
  <si>
    <t>Tin học: Excel (hàm, Pivot Table, biểu đồ) để tổng hợp điểm đánh giá, theo dõi QLGCN-04, QLGCN-05; phần mềm ERP/quản lý chất lượng (nếu có).
Excel（関数、ピボット、グラフ）による評価集計、QLGCN-04・05の管理、ERP・品質管理システム（導入時）。</t>
  </si>
  <si>
    <t>Tự học + Mua hàng hướng dẫn
自主学習・購買指導</t>
  </si>
  <si>
    <t>6</t>
  </si>
  <si>
    <t>QLGCN-04, 05</t>
  </si>
  <si>
    <t>Tự lập bảng tổng hợp kết quả đánh giá NCC bằng Pivot Table.
ピボットで仕入先評価集計表を作成できる。</t>
  </si>
  <si>
    <t>3.1</t>
  </si>
  <si>
    <t>GĐ 3
ÁP DỤNG TẠI NCC (CÓ NGƯỜI HƯỚNG DẪN)
段階3
仕入先での実践（指導者同行）</t>
  </si>
  <si>
    <t xml:space="preserve">Đi cùng người hướng dẫn đánh giá ≥2 NCC (1 NCC gia công nhựa + 1 NCC loại khác), mới hoặc định kỳ: quan sát, ghi Check sheet song song, so sánh kết quả sau đánh giá.
指導者に同行し仕入先2社以上（成形1社＋他業種1社）を監査。並行してチェックシートを記入し、結果を比較する。</t>
  </si>
  <si>
    <t xml:space="preserve">Tại NCC – Người hướng dẫn (Mua hàng/IQC)
OJT tại NCC
仕入先現地（同行OJT）</t>
  </si>
  <si>
    <t>2 lần
2回</t>
  </si>
  <si>
    <t>1, 2, 3</t>
  </si>
  <si>
    <t>Bước 2, 14
QLGCN-02, 05
Check sheet</t>
  </si>
  <si>
    <t xml:space="preserve">2 bộ Check sheet ghi song song; chênh lệch điểm so với người hướng dẫn ≤10%.
並行記入チェックシート2部、指導者との差10%以内。</t>
  </si>
  <si>
    <t>3.2</t>
  </si>
  <si>
    <t xml:space="preserve">Đồng đánh giá: tự chủ trì một phần buổi đánh giá (phỏng vấn, kiểm tra hiện trường, NCC cấp 2), viết báo cáo và CAR; người hướng dẫn soát xét.
共同監査：監査の一部（ヒアリング、現場確認、二次仕入先）を主導し、報告書・CARを作成。指導者がレビュー。</t>
  </si>
  <si>
    <t xml:space="preserve">Tại NCC – Người hướng dẫn và Quản lý Mua hàng
Thực hành có giám sát
仕入先現地（指導下で実施）</t>
  </si>
  <si>
    <t>1–2 lần
1～2回</t>
  </si>
  <si>
    <t>3, 4, 7</t>
  </si>
  <si>
    <t>Bước 2, 11, 14
QLGCN-02, 04, 05</t>
  </si>
  <si>
    <t xml:space="preserve">Báo cáo đánh giá và CAR được Quản lý Mua hàng phê duyệt, không phải sửa lớn.
監査報告書・CARが大幅修正なしで購買管理者承認される。</t>
  </si>
  <si>
    <t>3.3</t>
  </si>
  <si>
    <t xml:space="preserve">Cùng người hướng dẫn theo dõi 1 dự án chuẩn bị SX tại NCC từ T0 → MP: xác nhận thiết bị, điều kiện SX, NVL, tài liệu công đoạn, mẫu giới hạn tại NCC cấp 1 và cấp 2; quản lý QLGCN-03, QLGCN-04.
指導者と共に1案件の生産準備（T0→MP）をフォロー：一次・二次仕入先で設備・製造条件・材料・工程資料・限度見本を確認し、QLGCN-03・04を管理する。</t>
  </si>
  <si>
    <t xml:space="preserve">Tại NCC + KYOWA – Người hướng dẫn, IQC, Kỹ thuật
OJT theo dự án
仕入先・社内（案件OJT）</t>
  </si>
  <si>
    <t>Theo dự án
案件による</t>
  </si>
  <si>
    <t>1, 2, 4, 7</t>
  </si>
  <si>
    <t>Bước 4, 5, 6
QLGCN-03, 04</t>
  </si>
  <si>
    <t>QLGCN-03 hoàn thành 100%; các vấn đề trên QLGCN-04 được đóng trước MP.
QLGCN-03を100%完了、QLGCN-04の問題を量産前にクローズ。</t>
  </si>
  <si>
    <t>4.1</t>
  </si>
  <si>
    <t>GĐ 4
ĐỘC LẬP &amp; CÔNG NHẬN
段階4
独り立ち・認定</t>
  </si>
  <si>
    <t xml:space="preserve">Tự đánh giá độc lập 1 NCC: lập kế hoạch → đánh giá hiện trường → báo cáo → CAR; người hướng dẫn chỉ quan sát.
仕入先1社を計画→現地監査→報告→CARまで単独で実施（指導者はオブザーバー）。</t>
  </si>
  <si>
    <t xml:space="preserve">Tại NCC – Người hướng dẫn quan sát
仕入先現地（単独実施）</t>
  </si>
  <si>
    <t>1 lần
1回</t>
  </si>
  <si>
    <t>1, 2, 3, 4, 5, 6, 7</t>
  </si>
  <si>
    <t>Bước 2, 14, 15
QLGCN-01, 02, 05</t>
  </si>
  <si>
    <t xml:space="preserve">Chênh lệch điểm so với người hướng dẫn ≤5%; báo cáo được Quản lý Mua hàng phê duyệt.
指導者との差5%以内、報告書が購買管理者承認される。</t>
  </si>
  <si>
    <t>4.2</t>
  </si>
  <si>
    <t xml:space="preserve">Đánh giá năng lực cuối kỳ theo Phiếu đánh giá năng lực (7 nhóm, so với mức yêu cầu); Quản lý Mua hàng công nhận là người đánh giá NCC gia công ngoài.
期末スキル評価（7項目、要求レベルとの比較）。購買管理者が外注仕入先評価者として認定する。</t>
  </si>
  <si>
    <t xml:space="preserve">Trưởng phòng Mua hàng
購買課長</t>
  </si>
  <si>
    <t>1 ngày
1日</t>
  </si>
  <si>
    <t>Phiếu đánh giá năng lực
スキル評価シート</t>
  </si>
  <si>
    <t>Tất cả nhóm năng lực đạt mức yêu cầu; có quyết định công nhận.
全項目が要求レベル到達、認定記録あり。</t>
  </si>
  <si>
    <t>4.3</t>
  </si>
  <si>
    <t>Duy trì &amp; nâng cao: sau mỗi lần đánh giá NCC, tổng kết bài học và đề xuất cập nhật Check sheet; đánh giá lại năng lực 1 lần/năm.
継続教育：監査毎に教訓をまとめ、チェックシート改訂を提案。スキル評価を年1回実施。</t>
  </si>
  <si>
    <t>Học viên + Trưởng phòng Mua hàng
受講者・購買課長</t>
  </si>
  <si>
    <t>Liên tục sau T6
T6以降継続</t>
  </si>
  <si>
    <t>Bước 14, 15</t>
  </si>
  <si>
    <t>Có báo cáo bài học sau mỗi lần đánh giá; đạt khi đánh giá lại hằng năm.
監査毎の教訓報告、年次再評価で合格。</t>
  </si>
  <si>
    <t>Tỷ lệ hoàn thành (số hạng mục có kết quả O / tổng số hạng mục) / 達成率</t>
  </si>
  <si>
    <t>■ = Thời gian thực hiện dự kiến / 実施予定     O = Đạt/OK     X = Không đạt/NG     Δ = Đạt một phần, cần học bổ sung / 一部未達・追加教育</t>
  </si>
  <si>
    <t>Năng lực liên quan (No.): số thứ tự nhóm năng lực trong bảng Yêu cầu năng lực nhân sự quản lý/đánh giá NCC (1–7) / 関連スキル番号はスキル要件表の項目番号</t>
  </si>
  <si>
    <t>Thời lượng và lịch T1–T6 là đề xuất ban đầu (tổng 6 tháng); điều chỉnh ký hiệu ■ theo thực tế / 期間・日程は初期案（計6ヶ月）、■は実情に合わせて修正</t>
  </si>
  <si>
    <t>Ô cần nhập: thông tin chung (C3–C6), ký hiệu ■ (T1–T6), Người xác nhận, Ngày hoàn thành, Kết quả / 入力欄：基本情報、■、確認者、完了日、評価</t>
  </si>
  <si>
    <t>MỤC TIÊU NĂNG LỰC SAU ĐÀO TẠO / 教育後の目標レベル</t>
  </si>
  <si>
    <t>No.</t>
  </si>
  <si>
    <t>Nhóm năng lực
能力区分</t>
  </si>
  <si>
    <t>Ma trận năng lực
スキルマトリクス</t>
  </si>
  <si>
    <t>Mức yêu cầu (1–4)
要求レベル</t>
  </si>
  <si>
    <t>Hạng mục đào tạo liên quan
関連する教育項目</t>
  </si>
  <si>
    <t>Số hạng mục
項目数</t>
  </si>
  <si>
    <t>Kiến thức chuyên môn sản xuất
生産専門知識</t>
  </si>
  <si>
    <t>●</t>
  </si>
  <si>
    <t>1.3, 1.4, 1.5, 3.1, 3.3, 4.1, 4.2, 4.3</t>
  </si>
  <si>
    <t>Tiêu chuẩn &amp; hệ thống quản lý chất lượng
品質管理システム基準</t>
  </si>
  <si>
    <t>○
(Phải biết cơ bản)</t>
  </si>
  <si>
    <t>1.3, 1.5, 2.3, 3.1, 3.3, 4.1, 4.2, 4.3</t>
  </si>
  <si>
    <t>Kỹ năng đánh giá / audit NCC
監査スキル</t>
  </si>
  <si>
    <t>2.1, 2.2, 2.3, 3.1, 3.2, 4.1, 4.2, 4.3</t>
  </si>
  <si>
    <t>Kỹ năng quản lý &amp; đàm phán
管理・交渉スキル</t>
  </si>
  <si>
    <t>1.1, 1.2, 1.6, 3.2, 3.3, 4.1, 4.2, 4.3</t>
  </si>
  <si>
    <t>Ngoại ngữ
語学力</t>
  </si>
  <si>
    <t>○
(NCC nước ngoài)</t>
  </si>
  <si>
    <t>2.4, 4.1, 4.2, 4.3</t>
  </si>
  <si>
    <t>Tin học văn phòng
オフィスソフト</t>
  </si>
  <si>
    <t>1.1, 1.6, 2.1, 2.5, 4.1, 4.2, 4.3</t>
  </si>
  <si>
    <t>Kỹ năng mềm
ソフトスキル</t>
  </si>
  <si>
    <t>1.2, 1.6, 2.2, 3.2, 3.3, 4.1, 4.2, 4.3</t>
  </si>
  <si>
    <t>Ma trận và mức yêu cầu lấy theo file Yêu cầu năng lực nhân sự quản lý/đánh giá NCC (bảng năng lực và Phiếu đánh giá). ● Bắt buộc / 必須   ○ Áp dụng có điều kiện / 条件付き</t>
  </si>
  <si>
    <t>Học viên
受講者</t>
  </si>
  <si>
    <t>Người hướng dẫn
指導者</t>
  </si>
  <si>
    <t>Trưởng phòng Mua hàng
購買課長</t>
  </si>
  <si>
    <t xml:space="preserve">Phê duyệt
(Quản lý Mua hàng)
承認</t>
  </si>
  <si>
    <t>YÊU CẦU NĂNG LỰC NHÂN SỰ QUẢN LÝ/ĐÁNH GIÁ NCC
担当者に必要なスキル要件</t>
  </si>
  <si>
    <t>Nhân sự phụ trách quản lý và đánh giá NCC cần đáp ứng các nhóm năng lực sau để đảm bảo việc đánh giá NCC được thực hiện khách quan, chính xác.
サプライヤーの管理・評価を担当する人員は、サプライヤー評価を客観的かつ正確に実施するため、以下の能力を備える必要がある。</t>
  </si>
  <si>
    <t>Nội dung yêu cầu
要件内容</t>
  </si>
  <si>
    <t>MA TRẬN NĂNG LỰC
スキルマトリクス</t>
  </si>
  <si>
    <t>Hiểu quy trình ép phun/đúc nhựa, đặc tính vật liệu nhựa (PC, ABS, POM...), dung sai gia công và khả năng đọc bản vẽ kỹ thuật 2D/3D.
射出成形・樹脂成形の工程、樹脂材料（PC、ABS、POM等）の特性、加工公差、および2D/3D図面の読解能力を有すること。</t>
  </si>
  <si>
    <t>Nắm vững ISO 9001 (và IATF 16949 nếu có yêu cầu), các công cụ QC 7 Tools và phương pháp phân tích nguyên nhân gốc (5-Why, Ishikawa, Pareto).
ISO 9001（必要に応じてIATF 16949）、QC 7つ道具、および根本原因分析手法（5Why、特性要因図、パレート図）を理解していること。</t>
  </si>
  <si>
    <t>○</t>
  </si>
  <si>
    <t>Phải biết cơ bản</t>
  </si>
  <si>
    <t>Có khả năng lập kế hoạch đánh giá, xây dựng checklist đánh giá hiện trường, phỏng vấn và lập báo cáo đánh giá một cách khách quan, trung thực.
サプライヤー監査計画の策定、現地監査チェックリストの作成、ヒアリング、および客観的かつ正確な監査報告書の作成ができること。</t>
  </si>
  <si>
    <t>Có khả năng lập kế hoạch tiến độ (Gantt), quản lý PO/hợp đồng, đàm phán giá và điều khoản thương mại, đồng thời quản lý rủi ro chuỗi cung ứng.
進捗計画（ガントチャート）の作成、PO・契約管理、価格・取引条件の交渉、およびサプライチェーンリスクの管理ができること。</t>
  </si>
  <si>
    <t>Có khả năng sử dụng tiếng Nhật để giao tiếp với khách hàng/NCC Nhật; tiếng Trung hoặc tiếng Anh khi làm việc với NCC nước ngoài; có khả năng biên/phiên dịch tài liệu kỹ thuật.
日本語による顧客・日本サプライヤーとのコミュニケーション能力、海外サプライヤー対応に必要な中国語または英語能力、および技術資料の翻訳・通訳能力を有すること。</t>
  </si>
  <si>
    <r>
      <rPr>
        <sz val="12"/>
        <rFont val="Times New Roman"/>
        <family val="1"/>
      </rPr>
      <t xml:space="preserve">Áp dụng cho nhân sự làm việc với NCC nước ngoài
</t>
    </r>
    <r>
      <rPr>
        <sz val="12"/>
        <rFont val="Times New Roman"/>
        <family val="2"/>
      </rPr>
      <t>海外サプライヤーと業務を行う担当者に適用</t>
    </r>
  </si>
  <si>
    <t>Có khả năng sử dụng Excel (hàm, Pivot Table, biểu đồ) và phần mềm ERP/quản lý chất lượng nếu công ty triển khai.
Excel（関数、ピボットテーブル、グラフ）および会社で導入しているERP・品質管理システムを操作できること。</t>
  </si>
  <si>
    <t>Có kỹ năng giao tiếp, giải quyết vấn đề, làm việc nhóm liên phòng ban, chịu được áp lực tiến độ và chủ động báo cáo cấp trên.
コミュニケーション能力、問題解決能力、部門間のチームワーク、納期・スケジュールへの対応力、および上司への適時な報告・連絡・相談ができること。</t>
  </si>
  <si>
    <r>
      <rPr>
        <b/>
        <sz val="12"/>
        <rFont val="Times New Roman"/>
        <family val="1"/>
      </rPr>
      <t xml:space="preserve">Chú thích / </t>
    </r>
    <r>
      <rPr>
        <b/>
        <sz val="12"/>
        <rFont val="Times New Roman"/>
        <family val="2"/>
      </rPr>
      <t>凡例</t>
    </r>
    <r>
      <rPr>
        <b/>
        <sz val="12"/>
        <rFont val="Times New Roman"/>
        <family val="1"/>
      </rPr>
      <t>:</t>
    </r>
  </si>
  <si>
    <r>
      <rPr>
        <sz val="12"/>
        <rFont val="Times New Roman"/>
        <family val="1"/>
      </rPr>
      <t xml:space="preserve">●  Bắt buộc / </t>
    </r>
    <r>
      <rPr>
        <sz val="12"/>
        <rFont val="Times New Roman"/>
        <family val="2"/>
      </rPr>
      <t>必須</t>
    </r>
  </si>
  <si>
    <r>
      <rPr>
        <sz val="12"/>
        <rFont val="Times New Roman"/>
        <family val="1"/>
      </rPr>
      <t xml:space="preserve">○  Áp dụng khi làm việc với NCC nước ngoài / </t>
    </r>
    <r>
      <rPr>
        <sz val="12"/>
        <rFont val="Times New Roman"/>
        <family val="2"/>
      </rPr>
      <t>海外サプライヤー対応時に適用</t>
    </r>
  </si>
  <si>
    <r>
      <rPr>
        <sz val="12"/>
        <rFont val="Times New Roman"/>
        <family val="1"/>
      </rPr>
      <t xml:space="preserve">Ô trống: không bắt buộc / </t>
    </r>
    <r>
      <rPr>
        <sz val="12"/>
        <rFont val="Times New Roman"/>
        <family val="2"/>
      </rPr>
      <t>空欄：対象外</t>
    </r>
  </si>
  <si>
    <r>
      <rPr>
        <b/>
        <sz val="12"/>
        <rFont val="Times New Roman"/>
        <family val="1"/>
      </rPr>
      <t xml:space="preserve">Ngày ban hành / </t>
    </r>
    <r>
      <rPr>
        <b/>
        <sz val="12"/>
        <rFont val="Times New Roman"/>
        <family val="2"/>
      </rPr>
      <t>制定日</t>
    </r>
    <r>
      <rPr>
        <b/>
        <sz val="12"/>
        <rFont val="Times New Roman"/>
        <family val="1"/>
      </rPr>
      <t>:</t>
    </r>
  </si>
  <si>
    <r>
      <rPr>
        <b/>
        <sz val="12"/>
        <rFont val="Times New Roman"/>
        <family val="1"/>
      </rPr>
      <t xml:space="preserve">Người lập
</t>
    </r>
    <r>
      <rPr>
        <b/>
        <sz val="12"/>
        <rFont val="Times New Roman"/>
        <family val="2"/>
      </rPr>
      <t>作成者</t>
    </r>
  </si>
  <si>
    <r>
      <rPr>
        <b/>
        <sz val="12"/>
        <rFont val="Times New Roman"/>
        <family val="1"/>
      </rPr>
      <t xml:space="preserve">Phê duyệt
</t>
    </r>
    <r>
      <rPr>
        <b/>
        <sz val="12"/>
        <rFont val="Times New Roman"/>
        <family val="2"/>
      </rPr>
      <t>承認者</t>
    </r>
  </si>
  <si>
    <r>
      <rPr>
        <sz val="12"/>
        <rFont val="Times New Roman"/>
        <family val="1"/>
      </rPr>
      <t xml:space="preserve">Ngày / </t>
    </r>
    <r>
      <rPr>
        <sz val="12"/>
        <rFont val="Times New Roman"/>
        <family val="2"/>
      </rPr>
      <t>日付</t>
    </r>
    <r>
      <rPr>
        <sz val="12"/>
        <rFont val="Times New Roman"/>
        <family val="1"/>
      </rPr>
      <t>:      /      /</t>
    </r>
  </si>
  <si>
    <t>PHIẾU ĐÁNH GIÁ NĂNG LỰC NHÂN SỰ QUẢN LÝ/ĐÁNH GIÁ NCC</t>
  </si>
  <si>
    <r>
      <t>NCC</t>
    </r>
    <r>
      <rPr>
        <b/>
        <sz val="14"/>
        <rFont val="Times New Roman"/>
        <family val="2"/>
      </rPr>
      <t>管理・評価担当者 スキル評価シート</t>
    </r>
  </si>
  <si>
    <r>
      <rPr>
        <b/>
        <sz val="12"/>
        <rFont val="Times New Roman"/>
        <family val="1"/>
      </rPr>
      <t xml:space="preserve">Họ tên / </t>
    </r>
    <r>
      <rPr>
        <b/>
        <sz val="12"/>
        <rFont val="Times New Roman"/>
        <family val="2"/>
      </rPr>
      <t>氏名</t>
    </r>
    <r>
      <rPr>
        <b/>
        <sz val="12"/>
        <rFont val="Times New Roman"/>
        <family val="1"/>
      </rPr>
      <t>:</t>
    </r>
  </si>
  <si>
    <r>
      <rPr>
        <b/>
        <sz val="12"/>
        <rFont val="Times New Roman"/>
        <family val="1"/>
      </rPr>
      <t xml:space="preserve">Bộ phận / </t>
    </r>
    <r>
      <rPr>
        <b/>
        <sz val="12"/>
        <rFont val="Times New Roman"/>
        <family val="2"/>
      </rPr>
      <t>部門</t>
    </r>
    <r>
      <rPr>
        <b/>
        <sz val="12"/>
        <rFont val="Times New Roman"/>
        <family val="1"/>
      </rPr>
      <t>:</t>
    </r>
  </si>
  <si>
    <r>
      <rPr>
        <b/>
        <sz val="12"/>
        <rFont val="Times New Roman"/>
        <family val="1"/>
      </rPr>
      <t xml:space="preserve">Mã NV / </t>
    </r>
    <r>
      <rPr>
        <b/>
        <sz val="12"/>
        <rFont val="Times New Roman"/>
        <family val="2"/>
      </rPr>
      <t>社員番号</t>
    </r>
    <r>
      <rPr>
        <b/>
        <sz val="12"/>
        <rFont val="Times New Roman"/>
        <family val="1"/>
      </rPr>
      <t>:</t>
    </r>
  </si>
  <si>
    <r>
      <rPr>
        <b/>
        <sz val="12"/>
        <rFont val="Times New Roman"/>
        <family val="1"/>
      </rPr>
      <t xml:space="preserve">Người đánh giá / </t>
    </r>
    <r>
      <rPr>
        <b/>
        <sz val="12"/>
        <rFont val="Times New Roman"/>
        <family val="2"/>
      </rPr>
      <t>評価者</t>
    </r>
    <r>
      <rPr>
        <b/>
        <sz val="12"/>
        <rFont val="Times New Roman"/>
        <family val="1"/>
      </rPr>
      <t>:</t>
    </r>
  </si>
  <si>
    <r>
      <rPr>
        <b/>
        <sz val="12"/>
        <rFont val="Times New Roman"/>
        <family val="1"/>
      </rPr>
      <t xml:space="preserve">Kỳ đánh giá / </t>
    </r>
    <r>
      <rPr>
        <b/>
        <sz val="12"/>
        <rFont val="Times New Roman"/>
        <family val="2"/>
      </rPr>
      <t>評価期間</t>
    </r>
    <r>
      <rPr>
        <b/>
        <sz val="12"/>
        <rFont val="Times New Roman"/>
        <family val="1"/>
      </rPr>
      <t>:</t>
    </r>
  </si>
  <si>
    <r>
      <rPr>
        <b/>
        <sz val="12"/>
        <rFont val="Times New Roman"/>
        <family val="1"/>
      </rPr>
      <t xml:space="preserve">Ngày đánh giá / </t>
    </r>
    <r>
      <rPr>
        <b/>
        <sz val="12"/>
        <rFont val="Times New Roman"/>
        <family val="2"/>
      </rPr>
      <t>評価日</t>
    </r>
    <r>
      <rPr>
        <b/>
        <sz val="12"/>
        <rFont val="Times New Roman"/>
        <family val="1"/>
      </rPr>
      <t>:</t>
    </r>
  </si>
  <si>
    <r>
      <rPr>
        <b/>
        <sz val="12"/>
        <rFont val="Times New Roman"/>
        <family val="1"/>
      </rPr>
      <t xml:space="preserve">Nhóm năng lực
</t>
    </r>
    <r>
      <rPr>
        <b/>
        <sz val="12"/>
        <rFont val="Times New Roman"/>
        <family val="2"/>
      </rPr>
      <t>能力区分</t>
    </r>
  </si>
  <si>
    <r>
      <rPr>
        <b/>
        <sz val="12"/>
        <rFont val="Times New Roman"/>
        <family val="1"/>
      </rPr>
      <t xml:space="preserve">Mức yêu cầu
</t>
    </r>
    <r>
      <rPr>
        <b/>
        <sz val="12"/>
        <rFont val="Times New Roman"/>
        <family val="2"/>
      </rPr>
      <t xml:space="preserve">要求レベル
</t>
    </r>
    <r>
      <rPr>
        <b/>
        <sz val="12"/>
        <rFont val="Times New Roman"/>
        <family val="1"/>
      </rPr>
      <t>(1–4)</t>
    </r>
  </si>
  <si>
    <r>
      <rPr>
        <b/>
        <sz val="12"/>
        <rFont val="Times New Roman"/>
        <family val="1"/>
      </rPr>
      <t xml:space="preserve">Tự đánh giá
</t>
    </r>
    <r>
      <rPr>
        <b/>
        <sz val="12"/>
        <rFont val="Times New Roman"/>
        <family val="2"/>
      </rPr>
      <t xml:space="preserve">自己評価
</t>
    </r>
    <r>
      <rPr>
        <b/>
        <sz val="12"/>
        <rFont val="Times New Roman"/>
        <family val="1"/>
      </rPr>
      <t>(1–4)</t>
    </r>
  </si>
  <si>
    <r>
      <rPr>
        <b/>
        <sz val="12"/>
        <rFont val="Times New Roman"/>
        <family val="1"/>
      </rPr>
      <t xml:space="preserve">Cấp trên
đánh giá
</t>
    </r>
    <r>
      <rPr>
        <b/>
        <sz val="12"/>
        <rFont val="Times New Roman"/>
        <family val="2"/>
      </rPr>
      <t xml:space="preserve">上司評価
</t>
    </r>
    <r>
      <rPr>
        <b/>
        <sz val="12"/>
        <rFont val="Times New Roman"/>
        <family val="1"/>
      </rPr>
      <t>(1–4)</t>
    </r>
  </si>
  <si>
    <r>
      <rPr>
        <b/>
        <sz val="12"/>
        <rFont val="Times New Roman"/>
        <family val="1"/>
      </rPr>
      <t xml:space="preserve">Chênh lệch
</t>
    </r>
    <r>
      <rPr>
        <b/>
        <sz val="12"/>
        <rFont val="Times New Roman"/>
        <family val="2"/>
      </rPr>
      <t>差異</t>
    </r>
  </si>
  <si>
    <r>
      <rPr>
        <b/>
        <sz val="12"/>
        <rFont val="Times New Roman"/>
        <family val="1"/>
      </rPr>
      <t xml:space="preserve">Kết quả
</t>
    </r>
    <r>
      <rPr>
        <b/>
        <sz val="12"/>
        <rFont val="Times New Roman"/>
        <family val="2"/>
      </rPr>
      <t>判定</t>
    </r>
  </si>
  <si>
    <r>
      <rPr>
        <b/>
        <sz val="12"/>
        <rFont val="Times New Roman"/>
        <family val="1"/>
      </rPr>
      <t xml:space="preserve">Nội dung cần đào tạo / cải thiện
</t>
    </r>
    <r>
      <rPr>
        <b/>
        <sz val="12"/>
        <rFont val="Times New Roman"/>
        <family val="2"/>
      </rPr>
      <t>必要な教育・改善内容</t>
    </r>
  </si>
  <si>
    <r>
      <rPr>
        <b/>
        <sz val="12"/>
        <rFont val="Times New Roman"/>
        <family val="1"/>
      </rPr>
      <t xml:space="preserve">Thời hạn
</t>
    </r>
    <r>
      <rPr>
        <b/>
        <sz val="12"/>
        <rFont val="Times New Roman"/>
        <family val="2"/>
      </rPr>
      <t>期限</t>
    </r>
  </si>
  <si>
    <r>
      <rPr>
        <b/>
        <sz val="12"/>
        <rFont val="Times New Roman"/>
        <family val="1"/>
      </rPr>
      <t xml:space="preserve">Kiến thức chuyên môn sản xuất
</t>
    </r>
    <r>
      <rPr>
        <b/>
        <sz val="12"/>
        <rFont val="Times New Roman"/>
        <family val="2"/>
      </rPr>
      <t>生産専門知識</t>
    </r>
  </si>
  <si>
    <r>
      <rPr>
        <b/>
        <sz val="12"/>
        <rFont val="Times New Roman"/>
        <family val="1"/>
      </rPr>
      <t xml:space="preserve">Tiêu chuẩn &amp; hệ thống quản lý chất lượng
</t>
    </r>
    <r>
      <rPr>
        <b/>
        <sz val="12"/>
        <rFont val="Times New Roman"/>
        <family val="2"/>
      </rPr>
      <t>品質管理システム基準</t>
    </r>
  </si>
  <si>
    <r>
      <rPr>
        <b/>
        <sz val="12"/>
        <rFont val="Times New Roman"/>
        <family val="1"/>
      </rPr>
      <t xml:space="preserve">Kỹ năng đánh giá / audit NCC
</t>
    </r>
    <r>
      <rPr>
        <b/>
        <sz val="12"/>
        <rFont val="Times New Roman"/>
        <family val="2"/>
      </rPr>
      <t>監査スキル</t>
    </r>
  </si>
  <si>
    <r>
      <rPr>
        <b/>
        <sz val="12"/>
        <rFont val="Times New Roman"/>
        <family val="1"/>
      </rPr>
      <t xml:space="preserve">Kỹ năng quản lý &amp; đàm phán
</t>
    </r>
    <r>
      <rPr>
        <b/>
        <sz val="12"/>
        <rFont val="Times New Roman"/>
        <family val="2"/>
      </rPr>
      <t>管理・交渉スキル</t>
    </r>
  </si>
  <si>
    <r>
      <rPr>
        <b/>
        <sz val="12"/>
        <rFont val="Times New Roman"/>
        <family val="1"/>
      </rPr>
      <t xml:space="preserve">Ngoại ngữ
</t>
    </r>
    <r>
      <rPr>
        <b/>
        <sz val="12"/>
        <rFont val="Times New Roman"/>
        <family val="2"/>
      </rPr>
      <t>語学力</t>
    </r>
  </si>
  <si>
    <r>
      <rPr>
        <b/>
        <sz val="12"/>
        <rFont val="Times New Roman"/>
        <family val="1"/>
      </rPr>
      <t xml:space="preserve">Tin học văn phòng
</t>
    </r>
    <r>
      <rPr>
        <b/>
        <sz val="12"/>
        <rFont val="Times New Roman"/>
        <family val="2"/>
      </rPr>
      <t>オフィスソフト</t>
    </r>
  </si>
  <si>
    <r>
      <rPr>
        <b/>
        <sz val="12"/>
        <rFont val="Times New Roman"/>
        <family val="1"/>
      </rPr>
      <t xml:space="preserve">Kỹ năng mềm
</t>
    </r>
    <r>
      <rPr>
        <b/>
        <sz val="12"/>
        <rFont val="Times New Roman"/>
        <family val="2"/>
      </rPr>
      <t>ソフトスキル</t>
    </r>
  </si>
  <si>
    <r>
      <rPr>
        <b/>
        <sz val="12"/>
        <rFont val="Times New Roman"/>
        <family val="1"/>
      </rPr>
      <t xml:space="preserve">Điểm trung bình (cấp trên đánh giá) / </t>
    </r>
    <r>
      <rPr>
        <b/>
        <sz val="12"/>
        <rFont val="Times New Roman"/>
        <family val="2"/>
      </rPr>
      <t>平均点（上司評価）</t>
    </r>
  </si>
  <si>
    <r>
      <rPr>
        <b/>
        <sz val="12"/>
        <rFont val="Times New Roman"/>
        <family val="1"/>
      </rPr>
      <t xml:space="preserve">Số mục Đạt / </t>
    </r>
    <r>
      <rPr>
        <b/>
        <sz val="12"/>
        <rFont val="Times New Roman"/>
        <family val="2"/>
      </rPr>
      <t>合格項目数</t>
    </r>
  </si>
  <si>
    <r>
      <rPr>
        <b/>
        <sz val="12"/>
        <rFont val="Times New Roman"/>
        <family val="1"/>
      </rPr>
      <t xml:space="preserve">Số mục Chưa đạt / </t>
    </r>
    <r>
      <rPr>
        <b/>
        <sz val="12"/>
        <rFont val="Times New Roman"/>
        <family val="2"/>
      </rPr>
      <t>不合格項目数</t>
    </r>
  </si>
  <si>
    <r>
      <rPr>
        <b/>
        <sz val="12"/>
        <rFont val="Times New Roman"/>
        <family val="1"/>
      </rPr>
      <t xml:space="preserve">Nhận xét của cấp trên / </t>
    </r>
    <r>
      <rPr>
        <b/>
        <sz val="12"/>
        <rFont val="Times New Roman"/>
        <family val="2"/>
      </rPr>
      <t>上司コメント</t>
    </r>
    <r>
      <rPr>
        <b/>
        <sz val="12"/>
        <rFont val="Times New Roman"/>
        <family val="1"/>
      </rPr>
      <t>:</t>
    </r>
  </si>
  <si>
    <r>
      <rPr>
        <b/>
        <sz val="12"/>
        <rFont val="Times New Roman"/>
        <family val="1"/>
      </rPr>
      <t xml:space="preserve">Người được đánh giá
</t>
    </r>
    <r>
      <rPr>
        <b/>
        <sz val="12"/>
        <rFont val="Times New Roman"/>
        <family val="2"/>
      </rPr>
      <t>被評価者</t>
    </r>
  </si>
  <si>
    <r>
      <rPr>
        <b/>
        <sz val="12"/>
        <rFont val="Times New Roman"/>
        <family val="1"/>
      </rPr>
      <t xml:space="preserve">Người đánh giá
</t>
    </r>
    <r>
      <rPr>
        <b/>
        <sz val="12"/>
        <rFont val="Times New Roman"/>
        <family val="2"/>
      </rPr>
      <t>評価者</t>
    </r>
  </si>
  <si>
    <r>
      <rPr>
        <b/>
        <sz val="12"/>
        <rFont val="Times New Roman"/>
        <family val="1"/>
      </rPr>
      <t xml:space="preserve">Thang điểm / </t>
    </r>
    <r>
      <rPr>
        <b/>
        <sz val="12"/>
        <rFont val="Times New Roman"/>
        <family val="2"/>
      </rPr>
      <t>評価基準</t>
    </r>
    <r>
      <rPr>
        <b/>
        <sz val="12"/>
        <rFont val="Times New Roman"/>
        <family val="1"/>
      </rPr>
      <t>:</t>
    </r>
  </si>
  <si>
    <r>
      <rPr>
        <sz val="12"/>
        <rFont val="Times New Roman"/>
        <family val="1"/>
      </rPr>
      <t xml:space="preserve">1 – Chưa có kiến thức / kinh nghiệm  /  </t>
    </r>
    <r>
      <rPr>
        <sz val="12"/>
        <rFont val="Times New Roman"/>
        <family val="2"/>
      </rPr>
      <t>知識・経験なし</t>
    </r>
  </si>
  <si>
    <r>
      <rPr>
        <sz val="12"/>
        <rFont val="Times New Roman"/>
        <family val="1"/>
      </rPr>
      <t xml:space="preserve">2 – Có kiến thức cơ bản, cần hướng dẫn  /  </t>
    </r>
    <r>
      <rPr>
        <sz val="12"/>
        <rFont val="Times New Roman"/>
        <family val="2"/>
      </rPr>
      <t>基礎知識あり、指導が必要</t>
    </r>
  </si>
  <si>
    <r>
      <rPr>
        <sz val="12"/>
        <rFont val="Times New Roman"/>
        <family val="1"/>
      </rPr>
      <t xml:space="preserve">3 – Thực hiện độc lập được  /  </t>
    </r>
    <r>
      <rPr>
        <sz val="12"/>
        <rFont val="Times New Roman"/>
        <family val="2"/>
      </rPr>
      <t>独力で実施できる</t>
    </r>
  </si>
  <si>
    <r>
      <rPr>
        <sz val="12"/>
        <rFont val="Times New Roman"/>
        <family val="1"/>
      </rPr>
      <t xml:space="preserve">4 – Thành thạo, có thể hướng dẫn người khác  /  </t>
    </r>
    <r>
      <rPr>
        <sz val="12"/>
        <rFont val="Times New Roman"/>
        <family val="2"/>
      </rPr>
      <t>熟練しており、他者を指導できる</t>
    </r>
  </si>
  <si>
    <r>
      <rPr>
        <b/>
        <sz val="12"/>
        <rFont val="Times New Roman"/>
        <family val="1"/>
      </rPr>
      <t xml:space="preserve">Hướng dẫn nhập liệu / </t>
    </r>
    <r>
      <rPr>
        <b/>
        <sz val="12"/>
        <rFont val="Times New Roman"/>
        <family val="2"/>
      </rPr>
      <t>記入方法</t>
    </r>
    <r>
      <rPr>
        <b/>
        <sz val="12"/>
        <rFont val="Times New Roman"/>
        <family val="1"/>
      </rPr>
      <t>:</t>
    </r>
  </si>
  <si>
    <t>- Chỉ nhập vào các ô nền xám nhạt: thông tin chung, cột C, D, E, H, I và ô nhận xét. Cột F, G và phần tổng hợp tự tính bằng công thức.</t>
  </si>
  <si>
    <r>
      <rPr>
        <sz val="12"/>
        <rFont val="Times New Roman"/>
        <family val="2"/>
      </rPr>
      <t xml:space="preserve">  灰色のセルのみ入力：基本情報、</t>
    </r>
    <r>
      <rPr>
        <sz val="12"/>
        <rFont val="Times New Roman"/>
        <family val="1"/>
      </rPr>
      <t>C</t>
    </r>
    <r>
      <rPr>
        <sz val="12"/>
        <rFont val="Times New Roman"/>
        <family val="2"/>
      </rPr>
      <t>・</t>
    </r>
    <r>
      <rPr>
        <sz val="12"/>
        <rFont val="Times New Roman"/>
        <family val="1"/>
      </rPr>
      <t>D</t>
    </r>
    <r>
      <rPr>
        <sz val="12"/>
        <rFont val="Times New Roman"/>
        <family val="2"/>
      </rPr>
      <t>・</t>
    </r>
    <r>
      <rPr>
        <sz val="12"/>
        <rFont val="Times New Roman"/>
        <family val="1"/>
      </rPr>
      <t>E</t>
    </r>
    <r>
      <rPr>
        <sz val="12"/>
        <rFont val="Times New Roman"/>
        <family val="2"/>
      </rPr>
      <t>・</t>
    </r>
    <r>
      <rPr>
        <sz val="12"/>
        <rFont val="Times New Roman"/>
        <family val="1"/>
      </rPr>
      <t>H</t>
    </r>
    <r>
      <rPr>
        <sz val="12"/>
        <rFont val="Times New Roman"/>
        <family val="2"/>
      </rPr>
      <t>・</t>
    </r>
    <r>
      <rPr>
        <sz val="12"/>
        <rFont val="Times New Roman"/>
        <family val="1"/>
      </rPr>
      <t>I</t>
    </r>
    <r>
      <rPr>
        <sz val="12"/>
        <rFont val="Times New Roman"/>
        <family val="2"/>
      </rPr>
      <t>列、コメント欄。</t>
    </r>
    <r>
      <rPr>
        <sz val="12"/>
        <rFont val="Times New Roman"/>
        <family val="1"/>
      </rPr>
      <t>F</t>
    </r>
    <r>
      <rPr>
        <sz val="12"/>
        <rFont val="Times New Roman"/>
        <family val="2"/>
      </rPr>
      <t>・</t>
    </r>
    <r>
      <rPr>
        <sz val="12"/>
        <rFont val="Times New Roman"/>
        <family val="1"/>
      </rPr>
      <t>G</t>
    </r>
    <r>
      <rPr>
        <sz val="12"/>
        <rFont val="Times New Roman"/>
        <family val="2"/>
      </rPr>
      <t>列および集計欄は数式で自動計算。</t>
    </r>
  </si>
  <si>
    <t>- Chênh lệch = Cấp trên đánh giá − Mức yêu cầu. Chênh lệch ≥ 0 → Đạt; &lt; 0 → Chưa đạt (cần ghi nội dung đào tạo và thời hạn).</t>
  </si>
  <si>
    <r>
      <rPr>
        <sz val="12"/>
        <rFont val="Times New Roman"/>
        <family val="2"/>
      </rPr>
      <t xml:space="preserve">  差異＝上司評価－要求レベル。差異≧</t>
    </r>
    <r>
      <rPr>
        <sz val="12"/>
        <rFont val="Times New Roman"/>
        <family val="1"/>
      </rPr>
      <t xml:space="preserve">0 → </t>
    </r>
    <r>
      <rPr>
        <sz val="12"/>
        <rFont val="Times New Roman"/>
        <family val="2"/>
      </rPr>
      <t>合格、＜</t>
    </r>
    <r>
      <rPr>
        <sz val="12"/>
        <rFont val="Times New Roman"/>
        <family val="1"/>
      </rPr>
      <t xml:space="preserve">0 → </t>
    </r>
    <r>
      <rPr>
        <sz val="12"/>
        <rFont val="Times New Roman"/>
        <family val="2"/>
      </rPr>
      <t>不合格（教育内容と期限を記入）。</t>
    </r>
  </si>
  <si>
    <r>
      <rPr>
        <sz val="12"/>
        <rFont val="Times New Roman"/>
        <family val="1"/>
      </rPr>
      <t xml:space="preserve">- Ví dụ / </t>
    </r>
    <r>
      <rPr>
        <sz val="12"/>
        <rFont val="Times New Roman"/>
        <family val="2"/>
      </rPr>
      <t>記入例</t>
    </r>
    <r>
      <rPr>
        <sz val="12"/>
        <rFont val="Times New Roman"/>
        <family val="1"/>
      </rPr>
      <t>: Nhóm 1 – Mức yêu cầu 3, Tự đánh giá 3, Cấp trên 2 → Chênh lệch −1 → Chưa đạt → Đào tạo đọc bản vẽ 2D/3D, hạn 31/12/2026.</t>
    </r>
  </si>
  <si>
    <r>
      <rPr>
        <sz val="12"/>
        <rFont val="Times New Roman"/>
        <family val="2"/>
      </rPr>
      <t xml:space="preserve">  項目</t>
    </r>
    <r>
      <rPr>
        <sz val="12"/>
        <rFont val="Times New Roman"/>
        <family val="1"/>
      </rPr>
      <t xml:space="preserve">1 – </t>
    </r>
    <r>
      <rPr>
        <sz val="12"/>
        <rFont val="Times New Roman"/>
        <family val="2"/>
      </rPr>
      <t>要求レベル</t>
    </r>
    <r>
      <rPr>
        <sz val="12"/>
        <rFont val="Times New Roman"/>
        <family val="1"/>
      </rPr>
      <t>3</t>
    </r>
    <r>
      <rPr>
        <sz val="12"/>
        <rFont val="Times New Roman"/>
        <family val="2"/>
      </rPr>
      <t>、自己評価</t>
    </r>
    <r>
      <rPr>
        <sz val="12"/>
        <rFont val="Times New Roman"/>
        <family val="1"/>
      </rPr>
      <t>3</t>
    </r>
    <r>
      <rPr>
        <sz val="12"/>
        <rFont val="Times New Roman"/>
        <family val="2"/>
      </rPr>
      <t>、上司評価</t>
    </r>
    <r>
      <rPr>
        <sz val="12"/>
        <rFont val="Times New Roman"/>
        <family val="1"/>
      </rPr>
      <t xml:space="preserve">2 → </t>
    </r>
    <r>
      <rPr>
        <sz val="12"/>
        <rFont val="Times New Roman"/>
        <family val="2"/>
      </rPr>
      <t>差異−</t>
    </r>
    <r>
      <rPr>
        <sz val="12"/>
        <rFont val="Times New Roman"/>
        <family val="1"/>
      </rPr>
      <t xml:space="preserve">1 → </t>
    </r>
    <r>
      <rPr>
        <sz val="12"/>
        <rFont val="Times New Roman"/>
        <family val="2"/>
      </rPr>
      <t xml:space="preserve">不合格 → </t>
    </r>
    <r>
      <rPr>
        <sz val="12"/>
        <rFont val="Times New Roman"/>
        <family val="1"/>
      </rPr>
      <t>2D/3D</t>
    </r>
    <r>
      <rPr>
        <sz val="12"/>
        <rFont val="Times New Roman"/>
        <family val="2"/>
      </rPr>
      <t>図面読解の教育、期限</t>
    </r>
    <r>
      <rPr>
        <sz val="12"/>
        <rFont val="Times New Roman"/>
        <family val="1"/>
      </rPr>
      <t>2026/12/31</t>
    </r>
    <r>
      <rPr>
        <sz val="12"/>
        <rFont val="Times New Roman"/>
        <family val="2"/>
      </rPr>
      <t>。</t>
    </r>
  </si>
  <si>
    <t>- Mức yêu cầu theo từng vị trí do Trưởng bộ phận quyết định, tham khảo sheet Ma trận áp dụng.</t>
  </si>
  <si>
    <t xml:space="preserve">  職種ごとの要求レベルは部門長が決定する（「適用表」シートを参照）。</t>
  </si>
  <si>
    <t xml:space="preserve">                                                                  御中</t>
    <rPh sb="66" eb="68">
      <t>オンチュウ</t>
    </rPh>
    <phoneticPr fontId="2"/>
  </si>
  <si>
    <t>品質システム監査チェックシート
Check sheet đánh giá hệ thống chất lượng của công ty</t>
  </si>
  <si>
    <t>\</t>
  </si>
  <si>
    <t xml:space="preserve">実施年月日 Ngày tháng năm thực hiện </t>
  </si>
  <si>
    <t>監査工場 Đánh giá nhà máy</t>
  </si>
  <si>
    <t>被監査部門立会者 Người bị đánh gá</t>
  </si>
  <si>
    <t xml:space="preserve">監査員 Người đánh giá </t>
  </si>
  <si>
    <r>
      <t>〈基本評価基準〉</t>
    </r>
    <r>
      <rPr>
        <sz val="10"/>
        <color theme="1"/>
        <rFont val="ＭＳ Ｐゴシック"/>
        <family val="3"/>
        <charset val="128"/>
      </rPr>
      <t xml:space="preserve">
-：評価対象外
０：不十分であり、対策・改善が必要。（７０％未満）　　　
１：ルールがあり、ほぼできている。（７０％以上）　
２：ルールが完璧に守られており、実施内容が有効である。</t>
    </r>
  </si>
  <si>
    <r>
      <t>〈Tiêu chuẩn đánh giá cơ bản〉</t>
    </r>
    <r>
      <rPr>
        <sz val="10"/>
        <color theme="1"/>
        <rFont val="Times New Roman"/>
        <family val="1"/>
      </rPr>
      <t xml:space="preserve">
-：Ngoài đối tượng đánh giá
０：Không đầy đủ、đối sách・cần cải tiến。（chưa đầy７０％）　　　
１：có quy định 、có thể làm được gần đạt 。（trên ７０％）　
２：Có thể tuân thủ quy định chặt chẽ、với nội dung thực hiện là có hiệu quả </t>
    </r>
  </si>
  <si>
    <t/>
  </si>
  <si>
    <t xml:space="preserve">
区　　分
Phân loại </t>
  </si>
  <si>
    <t>評　　価　　項　　目Hạng mục đánh giá</t>
  </si>
  <si>
    <t xml:space="preserve">評価基準Tiêu chuẩn đánh giá </t>
  </si>
  <si>
    <t xml:space="preserve">評価
đánh giá </t>
  </si>
  <si>
    <t>是正
Chấn chỉnh</t>
  </si>
  <si>
    <t xml:space="preserve">0点の場合の理由、対策及び改善計画  Đối sách </t>
  </si>
  <si>
    <t>評価コメント</t>
  </si>
  <si>
    <t>担当者
Người đảm nhiệm</t>
  </si>
  <si>
    <t>実施日
Ngày thực hiện</t>
  </si>
  <si>
    <t>１点1 điểm</t>
  </si>
  <si>
    <t>２点２điểm</t>
  </si>
  <si>
    <t>QMS</t>
    <phoneticPr fontId="2"/>
  </si>
  <si>
    <t xml:space="preserve">組織の品質方針/品質目標は明確化され、進捗状況を定期的に評価しているか。
Làm rõ ràng sơ đồ tổ chức mục tiêu chất lượng và phương châm chất lượng , định ki có đánh giá tình trạng tiến độ không. </t>
  </si>
  <si>
    <t>・品質方針/品質目標の進捗を定期的にトレースする会議体等の仕組みがあり、
  実施している。
・品質方針が分かり易い位置に掲示されている。
Có cơ chế thể thức những cuộc họp truy xuất tiến độ mục tiêu chất lượng / phương châm chất lượng mang tính định kì hiện đang được thực hiện .
Phương châm chất lượng được thông báo những nơi dễ nhìn thấy và dễ hiểu.</t>
  </si>
  <si>
    <t xml:space="preserve">・部署毎の品質目標は、トップ方針実現のためにブレークダウンされた内容に
  なっている。
・目標未達の場合、追加の計画を立て、推進している。
Mục tiêu chất lượng của mỗi phòng là để thực hiện phương châm hàng đầu 
Trường hợp chưa đạt mục tiêu thì  xúc tiến lập kế hoạch bổ xung </t>
  </si>
  <si>
    <t>顧客クレームや工程内不良の真因究明が行われ、低減に向け取り組んでいるか。
Mỗi khi có claim của khách hàng tiến hành cố gắng giải quyết chiệt để làm rõ nguyên nhân chính phát sinh  lỗi tại trong công đoạn</t>
  </si>
  <si>
    <t>・不良統計の資料を作成し、活用している。
（要因分析/グラフ化/トレンドの見える化）
lập tài liệu thống kê lỗi và đang được sử dụng 
( nhìn thấy được xu hướng / biểu đồ hóa /phân tích nguyên nhân  )</t>
  </si>
  <si>
    <t>・不良低減活動の効果が現れている。
Có thể hiện được ra hiệu quả hoạt động giảm lỗi .</t>
  </si>
  <si>
    <t>品質保証の責任及び権限が明確か。
Quyền hạn và chách nhiệm của bên đảm bảo chất lượng phải rõ ràng</t>
  </si>
  <si>
    <t>・組織表等で品質保証責任者/担当者が決められており、責任と権限が明確に
  されている。
・夜間シフトや責任者不在時の代行者が定められている。
Tại biểu sơ đồ tổ chức có quy định rõ người đảm nhiệm / người chịu chách nhiệm đảm bảo chất lượng , quyền hạn và trách nhiệm đang được làm rõ ràng
Người có trách nhiệm nhưng ca tối lại vắng mặt thì có thể chỉ định được người đại diện thay thế khi vắng mặt có người có trách nhiệm tại ca tối.</t>
  </si>
  <si>
    <t>・（異常情報に限らず）情報展開には、窓口が正/副で決められる等、部門間の
  連携が速やかに展開できる仕組みがある。（例：営業⇔技術、技術⇔工場、
  調達⇔仕入先）
Triển khai thông tin (không chỉ thông tin bất thường) có cơ chế có thể triển khai thông tin giữa các phòng ban một cách nhanh nhất như là cửa thông tin chính thức hay phụ , ( ví dụ : kinh doanh ⇔ kĩ thuật , kĩ thuật ⇔ xưởng , cung ứng ⇔ chỗ khách hàng )</t>
  </si>
  <si>
    <t>第三者機関により認定された品質システム（ＩＡＴＦ16949，ISO9001他）、環境マネジメントシステム（ISO14000他）があるか。
Hệ thống chất lượng được chứng nhận bởi cơ quan chức năng tức là bên thứ 3 (ngờ thứ 3) (ＩＡＴＦ16949，ISO9001 khác )  có hệ thống quản lý môi trường (ISO14000 khác )</t>
  </si>
  <si>
    <t>・認証取得に向けた活動をしている。
Tổ chức hoạt động hướng tới lấy được chứng nhận .</t>
  </si>
  <si>
    <t xml:space="preserve">・認証取得済み。Đã lấy được giấy chứng nhận </t>
  </si>
  <si>
    <t>社内文書体系が整備され、運用や適宜改版され、維持管理されているか。
（社内規定、標準、指示書、QC工程表など）　
Hệ thống văn bản trong công ty được hoàn thiện , được thay đổi khi thích hợp và áp dụng , được quản lý và duy trì  ( quy định trong công ty , tiêu chuẩn , biểu chỉ thị , biểu công đoạn QC vân vân)</t>
  </si>
  <si>
    <t xml:space="preserve">・文書体系に則り、自社の品質マニュアル、基準、標準、指示書、要領書が整備されている。
Theo hệ thống tài liệu , sách hướng dẫn chất lượng của công ty , tiêu chuẩn ,  mục tiêu , biểu chỉ thị , đang được hoàn thiện 
</t>
  </si>
  <si>
    <t xml:space="preserve">・各種標準書類の内容が定期的に見直され、実態と不整合が生じないよう管理している。
Nội dung của các chủng loại biểu tiêu chuẩn , đang quản lý để không phát sinh lỗi và tình hình thực tế đang được xem lại mang tính định kì . </t>
  </si>
  <si>
    <t xml:space="preserve">外部文書（図面、仕様書、規格書など）の管理は標準で明確にされ、そのとおり管理されているか。
Quản lý văn bản bên ngoài phải được làm rõ ràng với tiêu chuẩn các mẫu như là ( biểu quy cách , thông số kỹ thuật , bản vẽ ) và theo đó có quản lý chúng không . </t>
  </si>
  <si>
    <t>・図面（自社図面/顧客図面）の管理ルールが明確であり、そのとおり実施されている。
Có quy định quản lý bản vẽ rõ ràng ( bản vẽ khách hàng / bản vẽ công ty mình )theo quy định đó đang được thực hiện .</t>
  </si>
  <si>
    <t>・顧客図面等の外部文書は、履歴を管理している。
（発行/受領/配付/廃棄/設変履歴/管理部門など）
văn bản bên ngoài như là bản ve khách hàng , đang được quản lý lý lịch 
( phát hành /   /   bố trí / báo phế/ lý lịch thay đổi thiết kế / bộ phận quản lý  )</t>
  </si>
  <si>
    <t>初期流動管理のルールがあり、組織的な量産移行（工場など）が行われているか。
Có quy định quản lý lưu động thời gian đầu , di chuyển sản xuất hàng loạt mang tính tổ chức có được diễn ra tại nhà máy không ?</t>
  </si>
  <si>
    <t>・初期管理ルールは明確であり、ルール通り運用されている。
・初期段階で工程の標準化を確立する仕組みがある。
Quy định quản lý giai đoạn đầu có được được làm rõ hiện đang đưuọc áp dụng theo quy định
Có cơ chế thành lập tiêu chuẩn hóa công đoạn trong giai đoạn đầu .</t>
  </si>
  <si>
    <t>・製品や工程能力の評価が適切に実施されている。
・工程FMEAを実施している。
Đánh giá sản phẩm  và năng lực công đoạn được thực hiện phù hợp .
Đang thực hiện FMEA công đoạn .</t>
  </si>
  <si>
    <t>仕入先管理ルールがあり、定期的な仕入先指導が出来ているか。
Có quy định quản lý NCC , hiện có đang chỉ đạo quản lý NCC mang tính định kỳ không .</t>
  </si>
  <si>
    <t>・計画的に仕入先の評価及び指導を行っている。
・仕入先の改善活動を定期的にトレースしている。
Tiến hành yêu cầu và đánh giá NCC mang tính kế hoạch.
Truy xuất hoạt động cải tiến của NCC mang tính định kì .</t>
  </si>
  <si>
    <t>・品質方針/品質目標が仕入先まで展開されている。
・変化点情報（工程変更等）を吸い上げる仕組みが仕入先に行き届き、情報が
  適切に展開されている。
・仕入先への改善指導の効果が現れている。
Mục tiêu chất lượng và phương châm chất lượng được triển khai đến NCC
Có cơ chế lắng nghe tiếp thu thông tin điểm thay đổi (thay đổi công đoạn) của khách hàng rồi triển khai phù hợp những thông tin đó.
Kết quả chỉ đạo cải tiến đến NCC cũng được thể hiện rõ ra.</t>
  </si>
  <si>
    <t>QC手法（特性要因図、なぜなぜ分析、FTA分析など）を活用したクレームの真因究明が行われ、効果的な再発防止が出来ているか。
cách thức đã được QC vận dụng như là ( phân tích FTA , phân tích tại sao tại sao , biểu đồ về yếu tố đặc tính ) được tiến hành điều tra rõ ràng nguyên nhân chính mỗi khi có claim ,có thể phòng tránh tái phát sinh có hiệu quả được không .</t>
  </si>
  <si>
    <t>・対策内容が標準書類等に反映され、遵守されている。
・是正要求への回答（対策書）は期限管理している。
Nội dung đối sách được phản sánh bằng văn bản tiêu chuẩn , và đang được tuân thủ.
Giải đáp đối sách theo yêu cầu chỉnh sửa hiện đang quản lý theo kì hạn.</t>
  </si>
  <si>
    <r>
      <t xml:space="preserve">・対策が水平展開される仕組みがあり、実施されている。
・過去トラ履歴を纏め、新規製品にも水平展開している。
・再発の定義が明確化され、クレーム対策の効果が現れているか。
Đối sách  cơ chế được triển khai ngang hiện đang được thực hiện.
Tóm tắt lý lịch quá khứ ,cũng triển khai ngang tới sản phẩm có quy cách mới.
Tái phát sinh được làm sáng tỏ ra thể hiện được kết quả đối sách đã bị claim không.
</t>
    </r>
    <r>
      <rPr>
        <sz val="12"/>
        <color indexed="12"/>
        <rFont val="ＭＳ Ｐゴシック"/>
        <family val="3"/>
        <charset val="128"/>
      </rPr>
      <t/>
    </r>
  </si>
  <si>
    <t>変化点の処置ルールは明確にされ、その通り処理されているか。
Quy định sử lý của điểm thay đổi được làm rõ ràng và theo đó vẫn đang được sử lý theo quy định có phải không</t>
  </si>
  <si>
    <t>・各工程にて変化点を明確に定義し、現場に掲示している。
・変化点の有ったロットは、重要度に応じて識別や検査ランクの変更など別管理するルールがあり、その通り実施している。
Ở mỗi công đoạn định nghĩa điểm thay đổi rõ ràng ra và treo thông báo tại hiện trường nơi làm việc 
Với Lot có điểm thay đổi rồi thì tùy vào từng mức độ nghiêm trọng rồi có quy định quản lý đặc biệt như thay đổi mức độ kiểm tra , phân biệt rõ số Lot sản phẩm , hiện đang được thực hiện như vậy.</t>
  </si>
  <si>
    <t>・重要度に応じ、変更前に情報が関係部署（後工程/検査/品質部門/客先など）に展開される仕組みがある。
・処置内容は記録され、後からトレース可能である。
Tùy vào mức độ nghiêm trọng mà có cơ chế liên lạc thông tin triển khai đến các bộ phận liên quan trước lúc thay đổi sự việc ( đến khách hàng , phòng QC, kiểm tra , công đoạn sau .)
Nội dung xử lý được ghi chép đầy đủ , có thể truy xuất sau này .</t>
  </si>
  <si>
    <t>異常処置ルールは明確であり、その通り処理されているか。
Quy định sử lý bất thường có được làm rõ ràng  theo đó vẫn đang được sử lý theo quy định có phải không</t>
  </si>
  <si>
    <t xml:space="preserve">・各工程の異常（製品異常・設備異常）は具体例を含めて説明され、識別や隔離等の処理がルール通り実行されている。
・記録する用紙があり、処置内容を含めて記録されている。
・不良品箱（保留品箱等）が必要な場所に設置されており、中身は適切に処理されている。
Bất thường các công đoạn (bất thường sản phẩm , bất thường thiết bị) giải thích ví dụ đưa ra cụ thể , cách ly ra và phân biệt hàng bị bất thường và không bất thường rõ ràng ra hiện đang được thực hiện theo quy định
Có mẫu giấy ghi chép theo form được ghi chép lại toàn bộ nội dung xử lý 
thùng đựng hàng lỗi (thùng hàng bảo lưu) được đặt ở nơi quy định sẵn , bên trong thùng cũng được sắp xếp hợp lý.
</t>
  </si>
  <si>
    <t xml:space="preserve">・異常の定義や報告ルートは職場に掲示され、従業員が内容を理解している。
・対象品の処理、水平展開は適切に実施されている（製品の遡り検査や金型/設備の臨時点検　含む）。
Quy định báo cáo và định nghĩa bất thường được treo thông báo nơi làm việc , để mọi người hiểu được nội dung đó .
Triển khai ngang xử lý sản phẩm đang được thực hiện thích hợp ( bao gồm kiểm tra tạm thời thiết bị /khuôn và truy vết sản phẩm </t>
  </si>
  <si>
    <t>材料・　部材管理
Nguyên liệu ・Quản lý vật liệu</t>
  </si>
  <si>
    <t>原材料や構成部品の受け入れルールがあり、受入検査が実施されているか。
Có quy định tiếp nhận cấu thành linh kiện và nguyên liệu chính ,kiểm tra tiếp nhận vẫn đang được thực hiện phải không.</t>
  </si>
  <si>
    <t>・作業手順は（含：異常時の処理ルール）写真や図を用いて分かり易く説明されており、標準書類が現場にある。　
・ルールどおりの手順で受入されており、記録されている。
・材料は物性確認を実施している（ﾐﾙｼｰﾄ確認/自主測定等）
Trình tự thao tác (gồm : quy định xử lý khi bất thường ) là có hồ sơ tiêu chuẩn được giải thích dễ hiểu và sử dụng biểu đồ hoặc hình ảnh được để nơi hiện trường .
Tiếp nhận trình tự theo quy định và cũng được ghi chép lại 
Thực hiện xác nhận tính chất vật lý nguyên liệu.</t>
  </si>
  <si>
    <t>・不良品は確実に廃棄または返却されたことがわかる（工程内に残らない）仕組みがある。
・異常品はルール通りに正しく処置されている。
Hàng lỗi có cơ chế biết được là hàng trả về và hàng thực sự báo hủy( không được lưu tại trong công đoạn )
Hàng bất thường được xử lý đúng theo quy định .</t>
  </si>
  <si>
    <t>原材料や構成部品の保管方法および環境は適切か。
（樹脂材、伸銅材、加工前品、めっき溶剤、
なども含む）
Môi trường và phương pháp bảo quản nguyên liệu chính với cấu thành linh kiện có phù hợp không ( bao gồm như là chất tẩy rửa dung môi , hàng trước da công , chất liệu đồng thau , nguyên liệu nhựa )</t>
  </si>
  <si>
    <t xml:space="preserve">・荷受場所や保管場所は劣化防止（雨濡れ、錆、吸湿）を考慮して決められている。
・直置禁止、段積み制限のルールがあり、実施されている。
・保管（使用）期限が決められており、保管品には受入日または製造日が表示されている。
Nơi tiếp nhận hàng và nơi bảo quản được quy định xem xét suy nghĩ phòng chống lão hóa ( hút ẩm , han rỉ , nước mưa rơi vào )
Có quy định hạn chế việc xếp chồng và nghiêm cấm để hàng trực tiếp nên nhau và hiện đang được thực hiện
Kỳ hạn bảo quản việc sử dụng cũng đã được quy định , với hàng bảo quản ngày sản xuất và ngày nhập kho bảo quản được hiển thị rõ ràng </t>
  </si>
  <si>
    <t>・先入れ先出しが確実に行われる仕組みがある。
・端数材料もロット管理がされており、使用期限切れのものが残らないよう管理されている。
・間違った材料が払い出せない工夫がある。
Có cơ chế tiến hành làm  rõ việc đầu ra và đầu vào của sản phẩm
Nguyên liệu lẻ cũng được quản lý theo Lot và hiện cũng đang quản lý để không cho hàng hết thời hạn còn đọng lại 
Có cách sử lý để không thể xuất hàng đã nhầm nguyên liệu.</t>
  </si>
  <si>
    <t>トレーサビリティ管理
Quản lý truy suất nguồn gốc</t>
  </si>
  <si>
    <t>ロットトレーサビリティ体制が確立されているか。
Đã thành lập thể chế truy suất nguồn gốc số Lot chưa.</t>
  </si>
  <si>
    <t xml:space="preserve">・ロットの定義、ロット単位が明確化され、ロット管理が運用されている。　
・出荷ロットに対して、製造ロット、数量等がトレースでき、不具合発生時には対象を
絞り込める。
Đơn vị Lot và định nghĩa Lot được làm rõ ràng việc quản lý Lot đang được áp dụng
Đối với Lot xuất hàng có thể truy xuất số lượng , Lot sản xuất , khi phát sinh lỗi chọn đối tượng </t>
  </si>
  <si>
    <t>・不具合発生時には対象ロットの出荷先、数量が速やか（２Ｈｒ以内）に絞り込める体制が構築されている。
Khi phát sinh lỗi thì đang xây dựng thể chế như là số lượng , số Lot của nơi xuất hàng có thể chọn lọc tìm được nhanh ( nội trong 2Hr)</t>
  </si>
  <si>
    <t>ロットサンプルが保管されているか。
Bản mẫu số Lot có đang được bảo quản không.</t>
  </si>
  <si>
    <t xml:space="preserve">・ロットサンプル保管がルール化されており、ルール通りの期間は保管されている。
Bảo quản sản phẩm theo mẫu Lot được quy định hóa và đang được bảo quản kì hạn theo quy định đó </t>
  </si>
  <si>
    <t>・保管場所、識別方法等が決められ、必要時には速やか（１Ｈｒ以内）に当該サンプルを特定することが出来る。
 Cách phân loại, nơi bảo quản được quy định khi cần thiết có thể lấy nhanh mẫu tương ứng (trong 1 Hr)</t>
  </si>
  <si>
    <t xml:space="preserve">
製造工程
Công đoạn sản xuất </t>
  </si>
  <si>
    <t xml:space="preserve">加工条件作成のルールは明確か。
Quy định lập ra biểu điều kiện gia công có rõ ràng không </t>
  </si>
  <si>
    <t>・加工条件作成時の品質確認項目/確認手順が定められており、その通り実施されている。
Trình tự xác nhận / hạng mục xác nhận chất lượng khi lập điều kiện gia công cũng được quy định và đang được thực hiện theo quy định .</t>
  </si>
  <si>
    <t xml:space="preserve">・条件作成時には、条件の余裕度/条件の確からしさが適切に評価されている。
Khi lập biểu điều kiện thì có thể đánh giá mức độ phù hợp như là độ chính xác cuả điều kiện / độ dư thừa của điều kiện </t>
  </si>
  <si>
    <t>加工条件表通り生産されているか。
Có sản xuất theo biểu điều kiện gia công không .</t>
  </si>
  <si>
    <t xml:space="preserve">・加工条件の管理幅は明確になっており、決められたとおりの条件で生産されている。
・数値で指定される条件は、設定値を数値で記録している。
Quản lý điều kiện gia công đã được rõ ràng , đang được sản xuất bằng điều kiện đã được quy định 
Điều kiện được chỉ định bằng giá trị số thì ghi chép giá trị đã cài đặt bằng giá trị số </t>
  </si>
  <si>
    <t xml:space="preserve">・モニター管理など、設備上で加工条件が保証できる仕組みがある。
・条件変更できる作業者が明確になっている。
Có cơ chế có thể đảm bảo điều kiện gia công bằng thết bị như là quản lý màn hình 
Người thao tác có thể thay đổi điều kiện cũng đã được rõ ràng .
</t>
  </si>
  <si>
    <t>全数保証のための仕組みがあるか
（ポカヨケ、検査機など）
Có cơ chế để bảo đảm toàn bộ số lượng (như là máy kiểm tra , chống lỗi không đáng sảy ra)</t>
  </si>
  <si>
    <t xml:space="preserve">・異常（条件異常等）を感知して排出振分けや設備停止する機構がある。
・作業ミスが生じないように、工程にポカヨケを備えている。
Cảm nhận được bất thường (điều kiện bất thường ) có cơ cấu tạm dừng thiết bị và phân loại chất thải
Để không phát sinh lỗi làm việc chuẩn bị chống lỗi không đáng sảy ra công đoạn </t>
  </si>
  <si>
    <t xml:space="preserve">・検査機で全数チェックしている。
・ポカヨケマップが作成されポカヨケ点検がされている。
Kiểm tra toàn bộ số lượng bằng máy kiểm tra 
Lập biểu đồ với hàng lỗi không đáng sảy ra này và kiểm tra định kì với lỗi đó
</t>
  </si>
  <si>
    <t>作業開始/中断時のルールは明確にされ、その通り実施されているか。
Quy định khi gián đoạn / bắt đầu thao tác là được làm rõ ràng và được thực hiện theo theo quy định đó không</t>
  </si>
  <si>
    <t>・段取り作業がルール化されており、調整品（条件調整品/捨打ち品）が良品に混入しない対策が盛り込まれている。
・作業中断時の処置ルール（仕掛状態での中断禁止/中断表示等）が定められており、守られている。
Thao tác nên khuôn được quy định hóa , hàng điều chỉnh (hàng loại bỏ và hàng điều chỉnh điều kiện  ) cũng đang được đưa vào đối sách để không chộn lẫn vào hàng OK</t>
  </si>
  <si>
    <t xml:space="preserve">・捨て打ち品が良品に混入しない対策が講じられている（捨て打ち品の数管理など）。Hàng loại bỏ cũng đưa ra đối sách để tránh lẫn vào hàng OK ( quản lý số hàng bỏ đi)
・作業再開時のチェック項目が明確になっている。
Hạng mục kiểm tra khi tái bắt đầu thao tác cũng được trở nên rõ ràng </t>
  </si>
  <si>
    <t>工程内在庫の保管状態はよいか
（異品混入/工程飛びの対策があるか）
Tình trạng bảo quản hàng tồn kho trong công đoạn có tốt không 
( lẫn linh kiện khác / có đối sách cho việc bỏ qua công đoạn , nhảy công đoạn )</t>
  </si>
  <si>
    <t xml:space="preserve">・工程内在庫は、カバーなどで保護（塵埃/異品/不良品の混入防止）されている。
・類似品を扱う工程では、サンプル/写真などで識別点を明確にし、作業の注意ポイントとして標準化している。
・容器や設備内の残留品を、段取り毎に確認している。
Tồn kho trong công đoạn đang được bảo vệ với các vỏ bọc bên ngoài ( phòng việc để lẫn với hàng lỗi / linh kiện khác / bụi  )
Công đoạn dùng hàng cùng linh kiện làm rõ điểm phân biệt như là hình ảnh và bản mẫu , làm tiêu chuẩn để coi nó như là điểm mấu chốt khi thao tác 
Mỗi khi chuẩn bị sản xuất kiểm tra xem hàng có còn lưu trữ trong thiết bị và trong thùng đựng.
</t>
  </si>
  <si>
    <t>・部品箱の清掃も定期的に実施する仕組みがある。
・工程飛びを防止する工夫がある（ﾊﾞｰｺｰﾄﾞﾘｰﾀﾞｰ等）
・仕掛在庫がリアルタイムで確認出来る。
・類似品を扱う工程を分離し、混入ルートを無くすことができる。（別工場で生産、容器や設備を共用しないなど）
Có cơ chế thực hiện định kì với việc vệ sinh thùng linh kiện
Có cách phòng tránh nhảy công đoạn ( máy chít bacot  )
Với thời gian thực tế có thể xác nhận tồn kho hàng dở dang 
Phân loại cách ly công đoạn với hàng cùng linh kiện và có thể  loại bỏ các bước lẫn hàng vào nhau ( sản xuất tại các nhà máy khác nhau và không dùng chung thiết bị và đồ đựng)</t>
  </si>
  <si>
    <t xml:space="preserve">構成部品や仕掛品の識別管理が出来ているか。
Có thể phân biệt quản lý hàng dở dang và cấu thành linh kiện không.
</t>
  </si>
  <si>
    <t>・工程内の構成部品や仕掛かり品などの半製品などは、容易に量産品に
混入しないよう、ルールが決められている。
Hàng bán thành phẩm như là hàng dở dang và linh kiện cấu thành trong công đoạn cũng đã được quy định rõ ràng để không cho để lẫn vào hàng sản xuất hàng loạt một cách dễ được</t>
  </si>
  <si>
    <t>・工程内の構成部品や仕掛かり品などの半製品は、識別された上で、先入れ先出しや数量管理が実施されている。
Hàng bán thành phẩm như là hàng dở dang và linh kiện cấu thành trong công đoạn sau khi được phân biệt có thể thực hiện quản lý số lượng và quản lý đầu xuất và đầu nhập .</t>
  </si>
  <si>
    <t xml:space="preserve">
金型管理
Quản lý khuôn</t>
  </si>
  <si>
    <t>金型及び、金型パーツの保管状態はよいか。
Tình trạng bảo quản thiết bị linh kiện trong khuôn và khuôn tốt không.</t>
  </si>
  <si>
    <t xml:space="preserve">・金型の保管は防錆等の劣化防止策がとられている。
・金型の識別は、品番、品名等が消えない方法（刻印等）で分かり易く金型に記され、
  誤使用防止策が講じられている。
Bảo quản khuôn có thể làm đối sách chống lão háo như là han rỉ 
Phân biệt khuôn bằng việc khắc dấu nên khuôn khi sản xuất ra không bị mờ tên hàng và số của linh kiện, ghi sao cho dễ hiểu 
Có thể lập đối sách phòng thao tác sử dụng nhầm </t>
  </si>
  <si>
    <t xml:space="preserve">・個々の金型の状況や所在(号機/修理/保管)が見える化され、管理されている。
Có thể nhìn thấy rõ được nơi và tình trạng của mỗi khuôn , đang được quản lý </t>
  </si>
  <si>
    <t xml:space="preserve">金型の改造・修理履歴が管理されているか。
Có thể quản lý lịch sửa khuôn ・ chỉnh sửa thay thế thiết bị trong khuôn không.
</t>
  </si>
  <si>
    <t>・金型改造/修正時の履歴が記録され、その際の品質確認結果とリンクできるよう、トレーサビリティを考慮した形で整理されている。
Có thể ghi lý lịch của khi chỉnh sửa khuôn / sửa chữa , và để có thể liên kết được với kết quả xác nhận chất lượng thực tế , với việc xem xét truy xuất nguồn gốc đang được làm</t>
  </si>
  <si>
    <t xml:space="preserve">・パーツ交換は管理台帳、組図への記載等の工夫がされ、メンテナンス時に確認が容易に出来る工夫がある。
・改造の場合、パーツ形状変更の承認手順が決められている。
Thay phụ tùng được ghi nên bản vẽ chính , sổ cái quản lý . Cũng đã xe xét đến việc có thể dễ ràng xác nhận khi mà bảo dưỡng .
Trường hợp chỉnh sửa thì cũng được quy định rõ trình tự xin sự chấp nhận mỗi khi thay đổi hình dáng trong khuôn . </t>
  </si>
  <si>
    <t xml:space="preserve">金型のメンテナンス周期/作業手順が明確か。
Trình tự làm việc tháo và lắp khuôn / chu kì bảo dưỡng khuôn có rõ ràng không
</t>
  </si>
  <si>
    <t xml:space="preserve">・定期メンテナンスのルールがあり、指定周期毎（ショット数等）にメンテナンスされており、履歴が明確である。
・メンテナンスの作業手順が決められており、その通り行われている。
Có quy định bảo dưỡng định kì , có lý lịch bảo dưỡng theo chu kì đã chỉ định được rõ ràng 
Trình tự thao tác khi bảo bảo dưỡng đã được quy định và hiện đang được tiến hành theo quy định </t>
  </si>
  <si>
    <t>・メンテナンス周期など、金型の管理状態を「見える化」する仕組みがある。
・金型仕様がメンテナンスや点検の要点として明確になっている（適切な
エアベント、パーツの分割　など）
Có cơ cấu có thể nhìn hay xác nhận được tình trạng quản lý của khuôn như là theo chu kì bảo dưỡng .
Thông số khuôn xem như là điểm quan trọng để kiểm tra và bảo dưỡng khuôn cũng đang được làm rõ ràng ( lỗ thông khí , phân chia phụ tùng vân vân......)</t>
  </si>
  <si>
    <t>金型組み付けメンテンナンスに関する作業手順が整備されているか。
Trình tự thao tác liên quan đến bảo dưỡng lắp khuôn vào có được bảo dưỡng không</t>
  </si>
  <si>
    <t xml:space="preserve">・金型組み付け作業メンテナンスに関するルールが整備され、誤組み付けや忘れなどを防ぐ為のポカヨケがある。
Quy định liên quan đến bảo dưỡng thao tác lắp khuôn cũng được thống nhất , có sai sót nhầm lẫn nên  cũng có việc phòng tránh quên và lắp nhầm . </t>
  </si>
  <si>
    <t>・金型組み付け作業メンテナンスに関するルールが整備され、誤組み付けや
忘れなどを防ぐ為のポカヨケ施策が決められ、パーツなど現品に施されているか。
Quy định liên quan đến bảo dưỡng thao tác lắp khuôn cũng được thống nhất , có sai sót nhầm lẫn không đáng có nên cũng có việc đưa đối sách phòng tránh việc quên và lắp nhầm , có thực hiện thực tế các chi tiết không</t>
  </si>
  <si>
    <t>設備管理
Quản lý thiết bị</t>
  </si>
  <si>
    <t xml:space="preserve">設備の定期点検が実施されているか
（含：生産設備、組立治具、検査装置）
Kiểm tra định kỳ thiết bị có đang được thực hiện không
( bao gồm: thiết bị sản xuất , JIG lăp ráp , thiết bị kiểm tra)
</t>
  </si>
  <si>
    <t xml:space="preserve">・定期点検の計画と点検項目を定めて実施している。
・消耗パーツの経年変化を定期的に確認し、交換している。
Đang thực hiện xác định hạng mục kiểm tra và kế hoạch kiểm tra định kì 
Chi tiết phụ tùng hao mòn theo năm tháng định kì cũng thực hiện kiểm tra và thay thế </t>
  </si>
  <si>
    <t xml:space="preserve">・設備の管理データがあり、保全計画に活用している。（稼働時間、停止時間、停止原因等)
・設備や治具の精度を定期的に点検している。
Có dữ liệu quản lý thiết bị sử dụng để lập kế hoạch bảo dưỡng ( nguyên nhân dừng , thời gian dừng , thời gian làm việc)
Định kì kiểm tra độ chính xác của JIG và thiết bị </t>
  </si>
  <si>
    <t xml:space="preserve">設備の日常点検が実施されているか。
（含：生産設備、組立治具、検査装置）
có đang thực hiện kiểm định thiết bị hàng ngày không
( bao gồm: thiết bị sản xuất , JIG lăp ráp , thiết bị kiểm tra)
</t>
  </si>
  <si>
    <t>・設備の日常点検は指示書通りに行われており、点検記録も整理、保管されている。
Kiểm tra thiết bị hàng ngày cũng thực hiện theo chỉ đạo thao tác , ghi chép kiểm tra cũng được bảo quản thống nhất .</t>
  </si>
  <si>
    <t xml:space="preserve">・数値点検項目があり、異常があれば、すぐ分かるように工夫されている。
・QA機は識別されたｴﾗｰｻﾝﾌﾟﾙで日常点検している。
Có hạng mục kiểm tra giá trị số , nếu có bất thường sẽ được xem xét để có thể hiểu được ngay
Máy QA được kiểm tra hàng ngày với mẫu màu đã được phân biệt </t>
  </si>
  <si>
    <t>検査工程
Công đoạn kiểm tra</t>
  </si>
  <si>
    <t>検査手順及び検査項目が明確になっており、適切に実施されているか。　　　　　　
Hạng mục kiểm tra và trình tự kiểm tra đã được làm rõ ràng và có đang được thực hiện phù hợp không 　　　　　　　　　　　　　</t>
  </si>
  <si>
    <t>・工程内不良、クレームなどの情報が反映された最新の検査ポイントを盛り込んだ標準書類が現場にある。
・初物/終物/インターバル検査の定義は明確になっている。
・検査記録はトレーサビリティを考慮して保管している。
Thông tin như là claim , lỗi trong công đoạn có hồ sơ tiêu chuẩn bao gồm điểm mấu chốt kiểm tra mới nhất đã được phản ánh và treo ở hiện trường.
Định nghĩa  của kiểm tra khoảng/ hàng sản xuất đầu / hàng sản xuất cuối , đã được trở nên rõ ràng .
Lý lịch kiểm tra đang xem xét đến việc truy xuất bảo quản</t>
  </si>
  <si>
    <t>・目視検査の検査ポイントはサンプルや写真などで分かりやすく指示されている。
・管理図や工程能力指数を用いて工程を監視し、規格外れになる前に処置を講じている。
Điểm mấu chốt kiểm tra bằng mắt đang được làm chỉ thị dễ hiểu như là bằng hình ảnh bằng bản mẫu 
Dùng chỉ số năng lực công đoạn và biểu đồ quản lý để giám sát công đoạn và , xây dựng hướng xử lý trước thời điểm trượt quy cách .</t>
  </si>
  <si>
    <t xml:space="preserve">製品照合用のマスターサンプルや検査機点検用のエラーサンプルがあるか。
Có bản mẫu lỗi dùng kiểm định máy kiểm tra và bản mẫu chính dùng đối chiếu sản phẩm không 
</t>
  </si>
  <si>
    <t xml:space="preserve">・製造工程、検査工程で使用するマスターサンプルや検査機点検用のエラーサンプルが管理され、使用期限が決められ、径時経年変化や劣化防止の為に定期的な見直しされているか。
Công đoạn kiểm tra và công đoạn sản xuất có bản mẫu màu dùng kiểm tra máy kiểm tra và bản mẫu chính để sử dụng được quản lý và được quy định thời hạn sử dụng ,định kì có xem lại để phòng việc lão hóa theo năm tháng không </t>
  </si>
  <si>
    <t>・定量値で判定されるエラーサンプルは、設備検出精度を考慮した上で、閾値設定の根拠が明確にされている。
Bản mẫu màu được phán định bằng giá trị định lượng là để thiết lập giá trị  được làm rõ có tính đến độ chính xác phát hiện thiết bị</t>
  </si>
  <si>
    <t xml:space="preserve">不適合品の管理は適切か。
Quản lý hàng lỗi có phù hợp không
</t>
  </si>
  <si>
    <t xml:space="preserve">・識別/隔離は確実に実施されており、未検査品や不適合品が混入することがないように工夫され、実施されている。
Phân biệt / cách ly , được thực hiện rõ , hiện đang thực hiện phương pháp để không để hàng chưa kiểm tra lẫn vào hàng lỗi </t>
  </si>
  <si>
    <t>・不合格時の対象品の処置、源流へのﾌｨｰﾄﾞﾊﾞｯｸがｽﾋﾟｰﾃﾞｨｰに行われており、必要な記録も残されている。
Đang được tiến hành nhanh chóng phản hồi đến nguồn gốc lưu thông xử lý đối tượng sản phẩm khi chưa đạt , ghi chép cần thiết cũng được lưu lại</t>
  </si>
  <si>
    <t>計測器は校正管理されているか。
（含：検査用治具）
có được quản lý hiệu chỉnh máy đo không .
(bao gồm : JIG dùng kiểm tra )</t>
  </si>
  <si>
    <t xml:space="preserve">・定めた通りの頻度/項目で点検を実施している。
・計測機器の有効期限を定め、精度管理している。
Đang thực hiện định kì kiểm tra tần xuất qua những hạng mục đã quy định 
Đang quản lý độ chính xác xác định kì hạn có hiệu quả của máy đo lường </t>
  </si>
  <si>
    <t xml:space="preserve">・識別ラベル等で計測機器に有効期限の明示がある。
・有効使用期限は管理台帳などで管理され、確実に校正が実施されている。
Có miếng dán hiển thị rõ ràng thời hạn có hiệu quả máy đo lường như là có tem phân biệt 
Kì hạn sử dụng có hiệu quả như là được thực hiện hiệu chỉnh chính xác và được quản lý bằng sổ quản lý </t>
  </si>
  <si>
    <t>検査場の状態は管理されているか。
Tình trạng chỗ đang được kiểm tra có được quản lý tốt không</t>
  </si>
  <si>
    <t xml:space="preserve">・不要なものが検査台、計測器周辺に置かれていない。
・検査場は実作業に即した位置に照明があり、十分な照度が確保されている。
Nhữngsản phẩm hay vật không cần thiết không được đặt để xung quanh máy đo lường , bàn kiểm tra
Nơi kiểm tra đảm bảo ánh sáng đầy đủ chiếu vào vị trí mà thao tác thực tế </t>
  </si>
  <si>
    <t xml:space="preserve">・検査機/計測器類は清掃しやすさが考慮され、きれいに磨かれて整理されており、間に合わせ対応がない。
・温度、湿度、騒音等についても考慮されている。
・異常があった場合は、検査済みの製品に対する適切な処置方法が決められており、その通り実施している。
Máy kiểm tra và các thiết bị đo lường có thể vệ sinh dễ dàng sắp xếp và lau chùi sạch có thể dùng kịp thời
Về tiếng ồn , nhiệt độ , độ ẩm cũng đã đang được xem xét tới .
Trường hợp có bất thường có thể quyết định cách sử lý phù hợp đối với hàng đã kiểm tra xong vẫn đang được thực hiện </t>
  </si>
  <si>
    <t>検査員認定の仕組みがあるか。
Có cơ chế để cấp chứng chỉ cho nhân viên kiểm tra không　　　　　　　　　　　　　　　　　　　　　　　　　　　　　　　　　　　　　　　　　　　　　　　　　</t>
  </si>
  <si>
    <t>・認定された検査員は明確になっている。
・検査員認定の方法が定められ、スキルチェックが適切に行われて認定されている。
Nhân viên kiểm tra đã được chứng nhận cũng được rõ ràng 
Có thể xác định được cách chứng nhận nhân viên kiểm tra được tiến hành kiểm tra kĩ năng phù hợp  rồi sau đó được cấp chứng chỉ.</t>
  </si>
  <si>
    <t xml:space="preserve">・定期的にｽｷﾙﾁｪｯｸ（ﾄﾞﾛｯﾌﾟﾃｽﾄ等）が実施され、認定を更新させている。
・検査員の検査工数が把握され、認定検査員は検査必要数量に見あった人数が確保されている。
・ｽｷﾙ不合格になった場合は、検査済みの製品に対する適切な処置方法が決められており、その通り実施している。
Có thể thực hiện kiểm tra kĩ năng định kì rồi cho cấp mới chứng chỉ 
Có thể nắm bắt được số công đoạn có thể kiểm tra của nhân viên kiểm tra , nhân viên được cấp chứng chỉ là có thể đảm bảo được số người mình nhìn thấy hợp đối với số lượng cần kiểm tra 
Trường hợp không đỗ kĩ năng kiểm tra cũng được xem xét để rồi đưa ra cách sử lý phù hợp đối với sản phẩm chưa kiểm tra xong , hiện cũng đang thực hiện.
</t>
  </si>
  <si>
    <t xml:space="preserve"> 梱包・
出荷工程
Công đoạn xuất hàng ・đóng gói</t>
  </si>
  <si>
    <t>計量機や梱包機は管理されているか
Máy đo lường và  máy đóng gói có đang được quản lý không.</t>
  </si>
  <si>
    <t>・計量機の単重設定はロット毎に行われている。
・梱包工程は、落下等による製品の破損が対策されている。
・作業毎に機内、空箱に残留品がないかチェックしている。
Cài đặt đơn vị trọng lượng của máy đo lường cũng được tiến hành mỗi Lot
Công đoạn đóng gói thực hiện đối sách rơi hàng dẫn tới hỏng sản phẩm .
Mỗi khi thao tác kiểm tra xem hàng có còn trong thùng và trong máy không</t>
  </si>
  <si>
    <t xml:space="preserve">・計量機の有効使用期限を定め、精度管理している。
・単重設定時の数え間違いを防止する工夫がある。
・残留品のチェック漏れを防止する工夫がある。
Xác nhận kì hạn sử dụng có hiệu quả của máy đo lường , quản lý độ chính xác 
Xem xét phòng chánh nhầm số khi cài đặt đơn vị trọng lượng
Xem xét phòng chánh khi kiểm tra xong mà vẫn còn hàng thừa ở trong thùng </t>
  </si>
  <si>
    <t>作業手順やルールが明確であり、その通り実施しているか。
Quy định và trình tự thao tác được rõ ràng, có thực hiện theo quy định của nó không</t>
  </si>
  <si>
    <t xml:space="preserve">・作業手順が写真や分かり易く説明された書類が現場にある。
・異常処理ルールは明確であり、処置結果は記録されている。
・段ボール箱は積み段数制限がある。
Trình tự thao tác có dễ hiểu không , có hiển thị ở ngoài hiện trường không
Quy định xử lý bất thường có không, kết quả xử lý có được ghi chép lại không
Thùng bìa carton có quy định số tầng đóng gói không </t>
  </si>
  <si>
    <t xml:space="preserve">・先入先出できる仕組みがあり、その通り実施されている。
・誤品や数量過不足を防止するための工夫がある。
・箱潰れがあった場合の処置ルールが決められている。
Có cơ cấy có thể nhập trước, xuất trước không, có thực hiện theo đúng quy định không 
Có quy trình để phòng chống lỗi thiếu , nhầm số lượng 
Có quy định xử lý trong trường hợp bị thiết thùng không
</t>
  </si>
  <si>
    <t>端数品の管理ができているか。　Có quản lý được hàng lẻ không</t>
  </si>
  <si>
    <t xml:space="preserve">・端数箱の識別、品番照合、先入先出がルール化され、ルール通り実施されている。
Có thể quy định hóa đầu xuất và đầu nhập , đối chiếu mã sản phẩm , phân biệt thùng lẻ , đang được thực hiện theo quy định </t>
  </si>
  <si>
    <t xml:space="preserve">・端数箱から出荷箱及び端数箱への補充時、品番照合がバーコードリーダー使用等により、確実に行われている。
・端数品の混在する最小梱包単位（袋等）で、識別表示ができている。
Từ thùng lẻ khi bổ xung vào thùng lẻ và thùng xuất hàng có thể tiến hành đối chiếu mã sản phẩm chính xác dựa vào máy chít bacot
Trọng lượng đóng gói nhỏ nhất hỗn hợp của hàng lẻ (như là bằng túi ) làm hiển thị phân biệt </t>
  </si>
  <si>
    <t>教育
Đào tạo</t>
  </si>
  <si>
    <t>教育、訓練体制は整備されているか。Thể chế huấn luyện và đào tạo đã được làm tốt chưa</t>
  </si>
  <si>
    <t>・教育マニュアル/教育資料等が用意してある。　
・認定された指導者が教育を行っている。
Đang chuẩn bị tài liệu đào tạo / hướng dẫn đào tạo 
Người chỉ đạo đã được cấp chứng chỉ tiến hành đào tạo 　　　　　　　　　　　　　　　　　　　　　　　　　　　</t>
  </si>
  <si>
    <t xml:space="preserve">・トレーニングルームや教育用サンプル等が用意され、実務に近い内容で訓練を行える体制がある。
Đã chuẩn bị bản mẫu dùng để đào tạo và phòng đào tạo , có thể chế tiến hành huấn luyện với nội dung sát với công việc thực tế </t>
  </si>
  <si>
    <t xml:space="preserve">各工程の作業者、スタッフ部門のスキル管理が実施され、スキルアップの為の計画があるか。Người thao tác mỗi công đoạn và kĩ năng quản lý của nhân viên bộ phận đang được thực hiện nhưng có kế hoạch để nâng cao kĩ năng không.  
</t>
  </si>
  <si>
    <t>・新人（転属者含む）は現場への配属前に十分にトレーニングされ、理解度/スキルをチェックしている。　　
・スキルマップは評価基準が明確になっており、個人毎にスキル評価し、スキルアップ計画がある。　　　　　
Người mới (bao gồm người di chuyển vị trí ) được đào tạo đầy đủ trước khi bố trí vào nơi làm việc  kiểm tra kĩ năng / độ hiểu biết 
Bản đồ kĩ năng được làm rõ tiêu chuẩn đánh giá , đánh giá kĩ năng của mỗi cá nhân và có kế hoạch nâng cao kĩ năng.
　　　　　　　　　　　　　　　　　　　　　　　　</t>
  </si>
  <si>
    <t xml:space="preserve">・階層別の教育訓練の仕組みがある。
・適切な間隔でスキルチェックを実施し、レベルアップ計画を立てて訓練を実施する体制がある。
Có cơ chế huấn luyện đào tạo cấp độ khác nhau 
Thực hiện kiểm tra kĩ năng với khoảng cách phù hợp và lập kế hoạch nâng cao cấp độ , có thể chế thực hiện huấn luyện </t>
  </si>
  <si>
    <t xml:space="preserve">決め事の遵守状況をチェックしているか。
Kiểm tra tình trạng tuân thủ việc mà đã được quy định 
</t>
  </si>
  <si>
    <t>・教育された内容どおりに決め事が守られているか、チェックする仕組みがある。
Có thể tuân thủ việc quy định theo nội dung đã được đào tạo không, có cơ chế kiểm tra .</t>
  </si>
  <si>
    <t>・管理者が各作業者の遵守状況を定期的にチェックし、是正指導している。
Người quản lý kiểm tra tình hình tuân thủ của mỗi người thao tác và chỉ đạo</t>
  </si>
  <si>
    <t xml:space="preserve">有資格作業及び認定作業者は明確になっているか。（法規資格など）
Người có chình độ được chứng nhận có rõ ràng hay không  ( như là bằng cấp theo quy định pháp luật ) </t>
  </si>
  <si>
    <t>・有資格作業、認定資格者が明確にされ、ルールに基づいて運用されている。
Có chứng chỉ thao tác , người có bằng chứng nhận được áp dụng dựa theo quy định .</t>
  </si>
  <si>
    <t>・認定者名簿の掲示または認定ワッペン等により認定資格者が明確になっている。　
Treo danh bạ người được cấp bằng và người có bằng chứng nhận theo viền mà trong bằng chứng nhận cũng trở nên rõ ràng  　　　</t>
  </si>
  <si>
    <t>５Ｓ活動
Hoạt động ５Ｓ</t>
  </si>
  <si>
    <t>原材料、構成部品、完成品、端数品、余剰品などの保管状態は、３Ｓ＋３定管理が出来ており、完成品に混入する恐れはないか。Tình trạng quản lý nguyên liệu chính , cấu thành sản phẩm , hàng thành phẩm , hàng lẻ , hàng sản xuất thừa là có thể quản lý 3 định +3S , nhưng có sợ bị lẫn hàng vào hàng thành phẩm không .</t>
  </si>
  <si>
    <t xml:space="preserve">・物の置き場等が識別されており、不要なものが通路や作業エリアに置かれていない。
・製品や材料の直置き禁止のルールがあり、実施されている。
Chỗ để hàng được phân biệt , đồ không cần thiết không được để khu vực thao tác và lối đi 
Có quy định đặt để nguyên liệu và sản phẩm , đang được thực hiện </t>
  </si>
  <si>
    <t xml:space="preserve">・物の置き場所は作業効率（人の動き）を考慮して決められている。　
・ｴﾘｱﾗｲﾝ、棚、箱、袋からはみ出した製品、材料はない。
Chỗ để hàng xem xét đến việc hiệu quả thao tác ( khi người làm việc )mà được quy định .
Không có nguyên liệu nào ,  sản phẩm nào , nhô ra từ túi bóng hay bao , thùng , kệ giá , khu vực chuyền </t>
  </si>
  <si>
    <t>設備に不要なものが置かれていないか。
Hàng không dùng đến nữa không để vào chung với thiết bị đúng không .</t>
  </si>
  <si>
    <t xml:space="preserve">・不要なものが設備上や設備周辺に置かれていない。
Không được đặt đồ không cần thiết vào xung quanh thiết bị và trên thiết bị </t>
  </si>
  <si>
    <t xml:space="preserve">・道具、機械類はきれいに磨かれ、整理されている。
Loại máy và dụng cụ được đánh bóng rồi được sắp xếp </t>
  </si>
  <si>
    <t xml:space="preserve">５Ｓ改善に向けた継続的な活動が出来ているか。
Có thể làm hoạt động mang tính liên tục để hướng tới cải tiến 5S </t>
  </si>
  <si>
    <t xml:space="preserve">・担当エリアや時間を決めて５Sを推進している。
Thúc tiến 5S quy định thời gian và khu vực đảm nhiệm </t>
  </si>
  <si>
    <t>・５Ｓの状況を点検し、是正する仕組みがある。
Kiểm tra tình trạng 5S và có cơ chế chỉnh sửa .</t>
  </si>
  <si>
    <t xml:space="preserve">部品や材料などが床や設備周辺に散乱していないか。
Nguyên liệu và linh kiện không rắc xuống nên nhà và không để xung quanh thiết bị
</t>
  </si>
  <si>
    <t xml:space="preserve">・部品、材料、粉砕屑、スクラップ片等の飛散はなく、きれいに清掃されている。
 phế liệu , chất thải nghiền , nguyên liệu , linh kiện không được rải rắc mà dọn sạch </t>
  </si>
  <si>
    <t>・良品箱への混入防止が取られている。
・飛散防止の対策が講じられている。
Phòng chánh lẫn hàng vào thùng hàng đạt chất lượng
Có thể đề xuất đối sách phòng chống rải rắc</t>
  </si>
  <si>
    <t>環境負荷物質(SOC)
Vật chất gây tác hại xấu nên môi trường (SOC)</t>
  </si>
  <si>
    <t>すべての購入品のサプライチェーンが明確になっているか。
Toàn bộ chuỗi cung ứng của hàng mua vào đã rõ ràng chưa.</t>
  </si>
  <si>
    <t xml:space="preserve">・購入品(部品・材料・副資材)の仕入先が明確になっており、材料メーカー/品名を把握している。
NCC nguyên liệu phụ , nguyên liệu , linh kiện , hàng mua vào phân chia rõ ràng , nắm bắt tên hàng / nhà sản xuất nguyên liệu  </t>
  </si>
  <si>
    <t xml:space="preserve">・すべての購入品をリストで管理し、情報は常に最新化されている。
Quản lý toàn bộ hàng mua vào bằng list và thông tin cũng được cập nhập mới </t>
  </si>
  <si>
    <t>環境負荷物質の管理が標準で明確になっているか。
Quản lý vật chất gây tác hại xấu đến môi trường với tiêu chuẩn đã rõ ràng chưa.</t>
  </si>
  <si>
    <t xml:space="preserve">・管理すべき物質が明確になった環境負荷物質基準がある。
Các vật chất nên quản lý phải được làm rõ có tiêu chuẩn vật chất gây tác hại đến môi trường  </t>
  </si>
  <si>
    <t xml:space="preserve">・管理すべき物質は、顧客の要求を反映している。
Vật chất nên quản lý là phản ánh theo yêu cầu của khách </t>
  </si>
  <si>
    <t xml:space="preserve">すべての購入品の成分データを入手し、使用を禁じられている物質の非含有を確認しているか。
Nhận được toàn bộ dữ liệu thành phần hàng mua vào và có xác nhận thành phần đó có chứa chất cấm sử dụng hay không </t>
  </si>
  <si>
    <t xml:space="preserve">・すべての購入品及びSOCに影響する変化点時は、成分データを入手し、使用を禁じられている物質の非含有を確認するルールがある。
Khi điểm thay đổi ảnh hưởng tới SOS và toàn bộ hàng mua vào , là có quy định xác nhận được toàn bộ dữ liệu thành phần hàng mua vào , và có xác nhận thành phần đó có chứa chất cấm sử dụng hay không </t>
  </si>
  <si>
    <t xml:space="preserve">・すべての購入品及びSOCに影響する変化点時は、成分データを入手し、使用を禁じられている物質の非含有を確認している。
Khi điểm thay đổi ảnh hưởng tới SOS và toàn bộ hàng mua vào là  nhận được toàn bộ dữ liệu thành phần hàng mua vào , và có xác nhận thành phần đó có chứa chất cấm sử dụng hay không </t>
  </si>
  <si>
    <t xml:space="preserve">その他
Khác </t>
  </si>
  <si>
    <t xml:space="preserve">現場の問題や困り事を打ち上げる仕組みがあるか。
Có cơ cấu họp những vấn đề phát sinh hay những vấn đề khó khăn tại hiện trường không 
</t>
  </si>
  <si>
    <t>・ルールがあり、運用されている（困りごと、改善提案）。
Có quy định , được áp dụng ( đề án cải tiến , việc khó khăn )</t>
  </si>
  <si>
    <t>・困り事が改善がフォローされ、運用状態が見える化され、打ち上げ者にフィードバックできている。
Có thể follow cải tiến sự việc khó khăn , có thể nhìn thấy được tình trạng áp dụng , có thể phản hồi người hoàn thành.</t>
  </si>
  <si>
    <t xml:space="preserve">安全に関する活動をしているか。Có hoạt động nào đó liên quan đến môi trường không </t>
  </si>
  <si>
    <t xml:space="preserve">・朝礼等で安全への注意喚起を繰り返し行っている。
Họp sáng tiến hành nhắc khơi lại chú ý đến việc an toàn </t>
  </si>
  <si>
    <t xml:space="preserve">・安全に関する活動を組織的に行っている。
Tiến hành hoạt động liên quan đến an toàn mang tính tổ chức </t>
  </si>
  <si>
    <t xml:space="preserve">不測事態に対する備えをしているか。
（地震/停電/水害への備え、リスク管理等）
 có chuẩn bị đối với việc bất ngờ sảy ra không 
( phòng chống rủi do , chuẩn bị cho việc lũ lụt /mất điện / động đất. vân vân….) </t>
  </si>
  <si>
    <t>・災害時の対応手順、リスクマネジメントマニュアル等が作成され、従業員に周知されている。
・発生時にネックとなる材料、インフラ、人員に対する具体的な処置方法が決められている。
Lập hướng dẫn quản lý rủi do , trình tự đối ứng khi hỏa hoạn , được thông báo đến nhân viên 
Khi phát sinh có thể xác định phương pháp sử lý cụ thể đối vơi nhân viên , cơ sở hạ tầng  nguyên liệu trở thành vấn đề khó khăn.</t>
  </si>
  <si>
    <t xml:space="preserve">・緊急事態が生じた場合でも、品質/納期等の顧客要求への対応を配慮した体制が準備されている。
Dù trường hợp phát sinh tình trạng khẩn cấp đi nữa cần chuẩn bị tốt bằng việc chăm sóc đối ứng cho yêu cầu của khách hàng như là thời gian giao hàng / chất lượng </t>
  </si>
  <si>
    <t>対象項目数
Số hạng mụ đối tượng</t>
  </si>
  <si>
    <t xml:space="preserve">是正要項目数
Số hạng mục yêu cầu chấn chỉnh </t>
  </si>
  <si>
    <t>判定 / Kết luận
合格 Đạt ≥80 (0点・●なし)・条件付合格 Có ĐK 60–79・不合格 Không đạt &lt;60</t>
  </si>
  <si>
    <t>評価点(100点換算)
Điểm đánh giá (thang 100)</t>
  </si>
  <si>
    <t>[コメント]</t>
    <phoneticPr fontId="2"/>
  </si>
  <si>
    <t>対策書提出期限Kỳ hạn đề xuất bảng đối sách：　　　　Năm 年　　tháng 月　  ngày日</t>
  </si>
  <si>
    <t>是正欄●項目（0、1点項目）すべてに対する是正計画を記載し、</t>
  </si>
  <si>
    <t>Hạng mục ● trong cột chấn chỉnh ( mục 0,1) toàn bộ phải ghi chép lại kế hoạch chấn chỉnh</t>
  </si>
  <si>
    <t>是正欄○項目（1、2点項目）についても、改善を記載してください。</t>
  </si>
  <si>
    <t xml:space="preserve">Hạng mục ○ cột chấ chỉnh  ( ở mục 1,2) ghi lại cải tiến </t>
  </si>
  <si>
    <t>QM-08-01</t>
  </si>
  <si>
    <t>Tên NCC
サプライヤー名称</t>
  </si>
  <si>
    <t xml:space="preserve">05.01様式3-10-2 (JP VN)</t>
  </si>
  <si>
    <t xml:space="preserve">Check sheet đánh giá hệ thống chất lượng NCC (bản đầy đủ 50 hạng mục, JP-VN)</t>
  </si>
  <si>
    <t xml:space="preserve">05.01</t>
  </si>
  <si>
    <t xml:space="preserve">06_Ke_hoach_dao_tao</t>
  </si>
  <si>
    <t xml:space="preserve">Kế hoạch đào tạo nhân viên Mua hàng trở thành người đánh giá NCC gia công ngoài</t>
  </si>
  <si>
    <t xml:space="preserve">06</t>
  </si>
  <si>
    <t xml:space="preserve">06_01.Yêu cầu năng lực_スキル要件</t>
  </si>
  <si>
    <t xml:space="preserve">Yêu cầu năng lực nhân sự quản lý/đánh giá NCC</t>
  </si>
  <si>
    <t xml:space="preserve">06.01</t>
  </si>
  <si>
    <t xml:space="preserve">06_02.Phiếu đánh giá_評価シート</t>
  </si>
  <si>
    <t xml:space="preserve">Phiếu đánh giá năng lực nhân sự quản lý/đánh giá NCC</t>
  </si>
  <si>
    <t xml:space="preserve">06.02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</si>
</sst>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mm/yy"/>
    <numFmt numFmtId="166" formatCode="\+0;\-0;0"/>
    <numFmt numFmtId="167" formatCode="0.0_ "/>
  </numFmts>
  <fonts count="39">
    <font>
      <sz val="11"/>
      <color theme="1"/>
      <name val="Calibri"/>
      <family val="2"/>
      <charset val="1"/>
    </font>
    <font>
      <b/>
      <sz val="16"/>
      <name val="Times New Roman"/>
      <family val="1"/>
    </font>
    <font>
      <b/>
      <sz val="11"/>
      <name val="Times New Roman"/>
      <family val="1"/>
    </font>
    <font>
      <sz val="11"/>
      <name val="Times New Roman"/>
      <family val="1"/>
    </font>
    <font>
      <b/>
      <sz val="12"/>
      <name val="Times New Roman"/>
      <family val="1"/>
    </font>
    <font>
      <b/>
      <sz val="10"/>
      <name val="Times New Roman"/>
      <family val="1"/>
    </font>
    <font>
      <sz val="10"/>
      <name val="Times New Roman"/>
      <family val="1"/>
    </font>
    <font>
      <sz val="9"/>
      <name val="Times New Roman"/>
      <family val="1"/>
    </font>
    <font>
      <b/>
      <sz val="16"/>
      <name val="Times New Roman"/>
      <family val="1"/>
    </font>
    <font>
      <b/>
      <sz val="11"/>
      <name val="Times New Roman"/>
      <family val="1"/>
    </font>
    <font>
      <sz val="11"/>
      <name val="Times New Roman"/>
      <family val="1"/>
    </font>
    <font>
      <sz val="10"/>
      <name val="Times New Roman"/>
      <family val="1"/>
    </font>
    <font>
      <sz val="8"/>
      <name val="Times New Roman"/>
      <family val="1"/>
    </font>
    <font>
      <b/>
      <sz val="10"/>
      <name val="Times New Roman"/>
      <family val="1"/>
    </font>
    <font>
      <b/>
      <sz val="14"/>
      <name val="Times New Roman"/>
      <family val="1"/>
    </font>
    <font>
      <sz val="12"/>
      <name val="Times New Roman"/>
      <family val="1"/>
    </font>
    <font>
      <b/>
      <sz val="12"/>
      <name val="Times New Roman"/>
      <family val="2"/>
    </font>
    <font>
      <sz val="12"/>
      <name val="Times New Roman"/>
      <family val="2"/>
    </font>
    <font>
      <sz val="8"/>
      <color theme="1"/>
      <name val="Calibri"/>
      <family val="2"/>
      <charset val="1"/>
    </font>
    <font>
      <b/>
      <sz val="14"/>
      <name val="Times New Roman"/>
      <family val="2"/>
    </font>
    <font>
      <sz val="11"/>
      <name val="ＭＳ Ｐゴシック"/>
      <family val="3"/>
      <charset val="128"/>
    </font>
    <font>
      <u/>
      <sz val="12"/>
      <color theme="1"/>
      <name val="Times New Roman"/>
      <family val="1"/>
    </font>
    <font>
      <sz val="12"/>
      <color theme="1"/>
      <name val="Times New Roman"/>
      <family val="1"/>
    </font>
    <font>
      <b/>
      <sz val="16"/>
      <color theme="1"/>
      <name val="Times New Roman"/>
      <family val="1"/>
    </font>
    <font>
      <b/>
      <sz val="14"/>
      <color theme="1"/>
      <name val="Times New Roman"/>
      <family val="1"/>
    </font>
    <font>
      <sz val="11"/>
      <color theme="1"/>
      <name val="Times New Roman"/>
      <family val="1"/>
    </font>
    <font>
      <b/>
      <sz val="36"/>
      <color theme="1"/>
      <name val="Times New Roman"/>
      <family val="1"/>
    </font>
    <font>
      <b/>
      <sz val="10"/>
      <color theme="1"/>
      <name val="ＭＳ Ｐゴシック"/>
      <family val="3"/>
      <charset val="128"/>
    </font>
    <font>
      <sz val="10"/>
      <color theme="1"/>
      <name val="ＭＳ Ｐゴシック"/>
      <family val="3"/>
      <charset val="128"/>
    </font>
    <font>
      <b/>
      <sz val="10"/>
      <color theme="1"/>
      <name val="Times New Roman"/>
      <family val="1"/>
    </font>
    <font>
      <sz val="10"/>
      <color theme="1"/>
      <name val="Times New Roman"/>
      <family val="1"/>
    </font>
    <font>
      <sz val="14"/>
      <color theme="1"/>
      <name val="Times New Roman"/>
      <family val="1"/>
    </font>
    <font>
      <sz val="12"/>
      <color indexed="12"/>
      <name val="ＭＳ Ｐゴシック"/>
      <family val="3"/>
      <charset val="128"/>
    </font>
    <font>
      <sz val="12"/>
      <name val="ＭＳ Ｐゴシック"/>
      <family val="3"/>
      <charset val="128"/>
    </font>
    <font>
      <b/>
      <u/>
      <sz val="11"/>
      <color theme="1"/>
      <name val="Times New Roman"/>
      <family val="1"/>
    </font>
    <font>
      <b/>
      <u/>
      <sz val="12"/>
      <color theme="1"/>
      <name val="Times New Roman"/>
      <family val="1"/>
    </font>
    <font>
      <b/>
      <sz val="12"/>
      <color theme="1"/>
      <name val="Times New Roman"/>
      <family val="1"/>
    </font>
    <font>
      <b/>
      <sz val="11"/>
      <color theme="1"/>
      <name val="Times New Roman"/>
      <family val="1"/>
    </font>
    <font>
      <b/>
      <sz val="12"/>
      <color indexed="81"/>
      <name val="ＭＳ Ｐゴシック"/>
      <family val="3"/>
      <charset val="128"/>
    </font>
  </fonts>
  <fills count="10">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E7E6E6"/>
        <bgColor rgb="FFF2F2F2"/>
      </patternFill>
    </fill>
    <fill>
      <patternFill patternType="solid">
        <fgColor rgb="FFF2F2F2"/>
        <bgColor rgb="FFE7E6E6"/>
      </patternFill>
    </fill>
    <fill>
      <patternFill patternType="solid">
        <fgColor theme="0"/>
        <bgColor indexed="64"/>
      </patternFill>
    </fill>
    <fill>
      <patternFill patternType="solid">
        <fgColor rgb="FFFFFF00"/>
        <bgColor indexed="64"/>
      </patternFill>
    </fill>
    <fill>
      <patternFill patternType="solid">
        <fgColor indexed="9"/>
        <bgColor indexed="64"/>
      </patternFill>
    </fill>
  </fills>
  <borders count="77">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20" fillId="0" borderId="0"/>
    <xf numFmtId="0" fontId="20" fillId="0" borderId="0">
      <alignment vertical="center"/>
    </xf>
    <xf numFmtId="0" fontId="33" fillId="0" borderId="0"/>
  </cellStyleXfs>
  <cellXfs count="383">
    <xf numFmtId="0" fontId="0" fillId="0" borderId="0" xfId="0"/>
    <xf numFmtId="0" fontId="5"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left" vertical="top" wrapText="1"/>
    </xf>
    <xf numFmtId="0" fontId="2" fillId="0" borderId="1" xfId="0" applyFont="1" applyBorder="1" applyAlignment="1">
      <alignment horizontal="center" vertical="center"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5" fillId="0" borderId="0" xfId="0" applyFont="1"/>
    <xf numFmtId="0" fontId="6" fillId="0" borderId="0" xfId="0" applyFont="1"/>
    <xf numFmtId="0" fontId="6" fillId="0" borderId="1" xfId="0" applyFont="1" applyBorder="1" applyAlignment="1">
      <alignment horizontal="left" vertical="top" wrapText="1"/>
    </xf>
    <xf numFmtId="0" fontId="3"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4" borderId="1" xfId="0" applyFont="1" applyFill="1" applyBorder="1" applyAlignment="1">
      <alignment horizontal="left" vertical="top" wrapText="1"/>
    </xf>
    <xf numFmtId="0" fontId="0" fillId="0" borderId="7" xfId="0" applyBorder="1"/>
    <xf numFmtId="0" fontId="10" fillId="0" borderId="7" xfId="0" applyFont="1" applyBorder="1" applyAlignment="1">
      <alignment horizontal="left" vertical="center" wrapText="1"/>
    </xf>
    <xf numFmtId="164" fontId="10" fillId="0" borderId="7" xfId="0" applyNumberFormat="1" applyFont="1" applyBorder="1" applyAlignment="1">
      <alignment horizontal="left" vertical="center" wrapText="1"/>
    </xf>
    <xf numFmtId="165" fontId="12" fillId="0" borderId="7" xfId="0" applyNumberFormat="1" applyFont="1" applyBorder="1" applyAlignment="1">
      <alignment horizontal="center" vertical="center" wrapText="1"/>
    </xf>
    <xf numFmtId="0" fontId="13" fillId="0" borderId="7"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7" xfId="0" applyFont="1" applyBorder="1" applyAlignment="1">
      <alignment horizontal="left" vertical="top" wrapText="1"/>
    </xf>
    <xf numFmtId="0" fontId="11" fillId="0" borderId="7" xfId="0" applyFont="1" applyBorder="1" applyAlignment="1">
      <alignment horizontal="left" vertical="top" wrapText="1"/>
    </xf>
    <xf numFmtId="0" fontId="11" fillId="0" borderId="7" xfId="0" applyFont="1" applyBorder="1" applyAlignment="1">
      <alignment horizontal="center" vertical="center" wrapText="1"/>
    </xf>
    <xf numFmtId="164" fontId="10" fillId="0" borderId="7" xfId="0" applyNumberFormat="1" applyFont="1" applyBorder="1" applyAlignment="1">
      <alignment horizontal="center" vertical="center" wrapText="1"/>
    </xf>
    <xf numFmtId="0" fontId="13" fillId="0" borderId="0" xfId="0" applyFont="1"/>
    <xf numFmtId="0" fontId="11" fillId="0" borderId="0" xfId="0" applyFont="1"/>
    <xf numFmtId="0" fontId="9" fillId="0" borderId="0" xfId="0" applyFont="1"/>
    <xf numFmtId="0" fontId="11" fillId="0" borderId="0" xfId="0" applyFont="1" applyAlignment="1">
      <alignment horizontal="left" vertical="center"/>
    </xf>
    <xf numFmtId="0" fontId="15" fillId="0" borderId="0" xfId="0" applyFont="1"/>
    <xf numFmtId="0" fontId="4" fillId="5" borderId="11" xfId="0" applyFont="1" applyFill="1" applyBorder="1" applyAlignment="1">
      <alignment horizontal="center" vertical="center" wrapText="1"/>
    </xf>
    <xf numFmtId="0" fontId="16" fillId="5" borderId="11" xfId="0" applyFont="1" applyFill="1" applyBorder="1" applyAlignment="1">
      <alignment horizontal="center" vertical="center" wrapText="1"/>
    </xf>
    <xf numFmtId="0" fontId="15" fillId="0" borderId="11" xfId="0" applyFont="1" applyBorder="1" applyAlignment="1">
      <alignment horizontal="center" vertical="center" wrapText="1"/>
    </xf>
    <xf numFmtId="0" fontId="4" fillId="0" borderId="11" xfId="0" applyFont="1" applyBorder="1" applyAlignment="1">
      <alignment horizontal="left" vertical="center" wrapText="1"/>
    </xf>
    <xf numFmtId="0" fontId="15" fillId="0" borderId="11" xfId="0" applyFont="1" applyBorder="1" applyAlignment="1">
      <alignment horizontal="left" vertical="center" wrapText="1"/>
    </xf>
    <xf numFmtId="0" fontId="17" fillId="0" borderId="11" xfId="0" applyFont="1" applyBorder="1" applyAlignment="1">
      <alignment horizontal="center" vertical="center" wrapText="1"/>
    </xf>
    <xf numFmtId="0" fontId="18" fillId="0" borderId="0" xfId="0" applyFont="1"/>
    <xf numFmtId="0" fontId="4" fillId="0" borderId="11" xfId="0" applyFont="1" applyBorder="1" applyAlignment="1">
      <alignment horizontal="center" vertical="center" wrapText="1"/>
    </xf>
    <xf numFmtId="0" fontId="15" fillId="0" borderId="11" xfId="0" applyFont="1" applyBorder="1"/>
    <xf numFmtId="0" fontId="15" fillId="6" borderId="11" xfId="0" applyFont="1" applyFill="1" applyBorder="1" applyAlignment="1">
      <alignment horizontal="left" vertical="center" wrapText="1"/>
    </xf>
    <xf numFmtId="0" fontId="15" fillId="6" borderId="11" xfId="0" applyFont="1" applyFill="1" applyBorder="1" applyAlignment="1">
      <alignment horizontal="center" vertical="center" wrapText="1"/>
    </xf>
    <xf numFmtId="166" fontId="15" fillId="0" borderId="11" xfId="0" applyNumberFormat="1" applyFont="1" applyBorder="1" applyAlignment="1">
      <alignment horizontal="center" vertical="center" wrapText="1"/>
    </xf>
    <xf numFmtId="164" fontId="15" fillId="6" borderId="11" xfId="0" applyNumberFormat="1" applyFont="1" applyFill="1" applyBorder="1" applyAlignment="1">
      <alignment horizontal="center" vertical="center" wrapText="1"/>
    </xf>
    <xf numFmtId="0" fontId="21" fillId="0" borderId="0" xfId="1" applyFont="1"/>
    <xf numFmtId="0" fontId="22" fillId="0" borderId="0" xfId="1" applyFont="1"/>
    <xf numFmtId="0" fontId="22" fillId="0" borderId="0" xfId="1" applyFont="1" applyAlignment="1">
      <alignment horizontal="left" vertical="center"/>
    </xf>
    <xf numFmtId="0" fontId="22" fillId="0" borderId="0" xfId="1" applyFont="1" applyAlignment="1">
      <alignment horizontal="left"/>
    </xf>
    <xf numFmtId="49" fontId="22" fillId="0" borderId="0" xfId="1" applyNumberFormat="1" applyFont="1"/>
    <xf numFmtId="49" fontId="22" fillId="0" borderId="0" xfId="1" quotePrefix="1" applyNumberFormat="1" applyFont="1"/>
    <xf numFmtId="0" fontId="22" fillId="0" borderId="0" xfId="1" applyFont="1" applyAlignment="1">
      <alignment horizontal="right"/>
    </xf>
    <xf numFmtId="167" fontId="23" fillId="0" borderId="0" xfId="1" applyNumberFormat="1" applyFont="1" applyAlignment="1">
      <alignment horizontal="center"/>
    </xf>
    <xf numFmtId="167" fontId="23" fillId="0" borderId="0" xfId="1" applyNumberFormat="1" applyFont="1"/>
    <xf numFmtId="0" fontId="22" fillId="0" borderId="0" xfId="1" applyFont="1" applyAlignment="1">
      <alignment horizontal="center"/>
    </xf>
    <xf numFmtId="0" fontId="24" fillId="0" borderId="0" xfId="1" applyFont="1" applyAlignment="1">
      <alignment horizontal="center"/>
    </xf>
    <xf numFmtId="0" fontId="21" fillId="0" borderId="0" xfId="1" applyFont="1" applyAlignment="1">
      <alignment horizontal="right"/>
    </xf>
    <xf numFmtId="0" fontId="25" fillId="0" borderId="0" xfId="1" applyFont="1"/>
    <xf numFmtId="0" fontId="22" fillId="0" borderId="0" xfId="1" applyFont="1" applyAlignment="1">
      <alignment horizontal="center" vertical="center"/>
    </xf>
    <xf numFmtId="0" fontId="22" fillId="0" borderId="20" xfId="1" applyFont="1" applyBorder="1"/>
    <xf numFmtId="0" fontId="22" fillId="0" borderId="20" xfId="1" applyFont="1" applyBorder="1" applyAlignment="1">
      <alignment wrapText="1"/>
    </xf>
    <xf numFmtId="0" fontId="22" fillId="0" borderId="0" xfId="1" applyFont="1" applyAlignment="1">
      <alignment horizontal="left" vertical="center" shrinkToFit="1"/>
    </xf>
    <xf numFmtId="0" fontId="22" fillId="0" borderId="21" xfId="1" applyFont="1" applyBorder="1" applyAlignment="1">
      <alignment vertical="center"/>
    </xf>
    <xf numFmtId="0" fontId="22" fillId="0" borderId="21" xfId="1" applyFont="1" applyBorder="1" applyAlignment="1">
      <alignment horizontal="center" vertical="center"/>
    </xf>
    <xf numFmtId="0" fontId="25" fillId="0" borderId="21" xfId="1" applyFont="1" applyBorder="1" applyAlignment="1">
      <alignment horizontal="left" vertical="center" wrapText="1"/>
    </xf>
    <xf numFmtId="0" fontId="22" fillId="0" borderId="21" xfId="1" applyFont="1" applyBorder="1"/>
    <xf numFmtId="0" fontId="22" fillId="0" borderId="21" xfId="1" applyFont="1" applyBorder="1" applyAlignment="1">
      <alignment vertical="center" wrapText="1"/>
    </xf>
    <xf numFmtId="0" fontId="22" fillId="0" borderId="0" xfId="1" applyFont="1" applyAlignment="1">
      <alignment vertical="center" wrapText="1"/>
    </xf>
    <xf numFmtId="0" fontId="30" fillId="0" borderId="18" xfId="1" applyFont="1" applyBorder="1"/>
    <xf numFmtId="0" fontId="30" fillId="0" borderId="18" xfId="1" applyFont="1" applyBorder="1" applyAlignment="1">
      <alignment horizontal="left" vertical="top" wrapText="1"/>
    </xf>
    <xf numFmtId="0" fontId="30" fillId="0" borderId="18" xfId="1" applyFont="1" applyBorder="1" applyAlignment="1">
      <alignment horizontal="left" wrapText="1"/>
    </xf>
    <xf numFmtId="0" fontId="30" fillId="0" borderId="0" xfId="1" applyFont="1" applyAlignment="1">
      <alignment horizontal="left" wrapText="1"/>
    </xf>
    <xf numFmtId="0" fontId="30" fillId="0" borderId="0" xfId="1" applyFont="1" applyAlignment="1">
      <alignment horizontal="left"/>
    </xf>
    <xf numFmtId="0" fontId="30" fillId="0" borderId="0" xfId="1" applyFont="1" applyAlignment="1">
      <alignment horizontal="left" vertical="center"/>
    </xf>
    <xf numFmtId="0" fontId="30" fillId="0" borderId="0" xfId="1" applyFont="1" applyAlignment="1">
      <alignment horizontal="right" vertical="center" shrinkToFit="1"/>
    </xf>
    <xf numFmtId="0" fontId="30" fillId="0" borderId="0" xfId="1" applyFont="1"/>
    <xf numFmtId="49" fontId="30" fillId="0" borderId="0" xfId="1" applyNumberFormat="1" applyFont="1"/>
    <xf numFmtId="0" fontId="22" fillId="0" borderId="26" xfId="1" applyFont="1" applyBorder="1" applyAlignment="1">
      <alignment horizontal="center" vertical="center"/>
    </xf>
    <xf numFmtId="0" fontId="22" fillId="0" borderId="31" xfId="1" applyFont="1" applyBorder="1" applyAlignment="1">
      <alignment horizontal="center" vertical="center"/>
    </xf>
    <xf numFmtId="0" fontId="22" fillId="0" borderId="36" xfId="1" quotePrefix="1" applyFont="1" applyBorder="1" applyAlignment="1">
      <alignment horizontal="center" vertical="center"/>
    </xf>
    <xf numFmtId="0" fontId="22" fillId="7" borderId="37" xfId="1" applyFont="1" applyFill="1" applyBorder="1" applyAlignment="1">
      <alignment horizontal="left" vertical="center" wrapText="1"/>
    </xf>
    <xf numFmtId="0" fontId="22" fillId="0" borderId="24" xfId="1" applyFont="1" applyBorder="1" applyAlignment="1">
      <alignment horizontal="left" vertical="center" wrapText="1"/>
    </xf>
    <xf numFmtId="0" fontId="22" fillId="0" borderId="36" xfId="1" applyFont="1" applyBorder="1" applyAlignment="1">
      <alignment horizontal="center" vertical="center"/>
    </xf>
    <xf numFmtId="0" fontId="30" fillId="0" borderId="38" xfId="1" applyFont="1" applyBorder="1" applyAlignment="1">
      <alignment horizontal="center" vertical="center"/>
    </xf>
    <xf numFmtId="49" fontId="22" fillId="0" borderId="40" xfId="1" applyNumberFormat="1" applyFont="1" applyBorder="1"/>
    <xf numFmtId="49" fontId="22" fillId="0" borderId="41" xfId="1" applyNumberFormat="1" applyFont="1" applyBorder="1"/>
    <xf numFmtId="0" fontId="22" fillId="0" borderId="43" xfId="1" quotePrefix="1" applyFont="1" applyBorder="1" applyAlignment="1">
      <alignment horizontal="center" vertical="center"/>
    </xf>
    <xf numFmtId="0" fontId="22" fillId="7" borderId="44" xfId="2" applyFont="1" applyFill="1" applyBorder="1" applyAlignment="1">
      <alignment horizontal="left" vertical="center" wrapText="1"/>
    </xf>
    <xf numFmtId="0" fontId="22" fillId="0" borderId="45" xfId="1" applyFont="1" applyBorder="1" applyAlignment="1">
      <alignment horizontal="left" vertical="center" wrapText="1"/>
    </xf>
    <xf numFmtId="0" fontId="22" fillId="0" borderId="45" xfId="2" applyFont="1" applyBorder="1" applyAlignment="1">
      <alignment horizontal="left" vertical="center" wrapText="1"/>
    </xf>
    <xf numFmtId="0" fontId="22" fillId="0" borderId="43" xfId="1" applyFont="1" applyBorder="1" applyAlignment="1">
      <alignment horizontal="center" vertical="center"/>
    </xf>
    <xf numFmtId="0" fontId="30" fillId="0" borderId="46" xfId="1" applyFont="1" applyBorder="1" applyAlignment="1">
      <alignment horizontal="center" vertical="center"/>
    </xf>
    <xf numFmtId="49" fontId="22" fillId="0" borderId="11" xfId="1" applyNumberFormat="1" applyFont="1" applyBorder="1"/>
    <xf numFmtId="49" fontId="22" fillId="0" borderId="48" xfId="1" applyNumberFormat="1" applyFont="1" applyBorder="1"/>
    <xf numFmtId="0" fontId="22" fillId="7" borderId="44" xfId="1" applyFont="1" applyFill="1" applyBorder="1" applyAlignment="1">
      <alignment horizontal="left" vertical="center" wrapText="1"/>
    </xf>
    <xf numFmtId="0" fontId="22" fillId="7" borderId="45" xfId="1" applyFont="1" applyFill="1" applyBorder="1" applyAlignment="1" applyProtection="1">
      <alignment horizontal="left" vertical="center" wrapText="1"/>
      <protection locked="0"/>
    </xf>
    <xf numFmtId="0" fontId="22" fillId="0" borderId="45" xfId="1" applyFont="1" applyBorder="1" applyAlignment="1" applyProtection="1">
      <alignment horizontal="left" vertical="center" wrapText="1"/>
      <protection locked="0"/>
    </xf>
    <xf numFmtId="0" fontId="30" fillId="0" borderId="49" xfId="1" applyFont="1" applyBorder="1" applyAlignment="1">
      <alignment horizontal="center" vertical="center"/>
    </xf>
    <xf numFmtId="49" fontId="22" fillId="0" borderId="50" xfId="1" applyNumberFormat="1" applyFont="1" applyBorder="1"/>
    <xf numFmtId="49" fontId="22" fillId="0" borderId="51" xfId="1" applyNumberFormat="1" applyFont="1" applyBorder="1"/>
    <xf numFmtId="0" fontId="22" fillId="0" borderId="52" xfId="1" quotePrefix="1" applyFont="1" applyBorder="1" applyAlignment="1">
      <alignment horizontal="center" vertical="center"/>
    </xf>
    <xf numFmtId="0" fontId="22" fillId="7" borderId="43" xfId="1" quotePrefix="1" applyFont="1" applyFill="1" applyBorder="1" applyAlignment="1">
      <alignment horizontal="center" vertical="center"/>
    </xf>
    <xf numFmtId="0" fontId="22" fillId="7" borderId="22" xfId="1" applyFont="1" applyFill="1" applyBorder="1" applyAlignment="1">
      <alignment horizontal="left" vertical="center" wrapText="1"/>
    </xf>
    <xf numFmtId="0" fontId="22" fillId="7" borderId="55" xfId="1" applyFont="1" applyFill="1" applyBorder="1" applyAlignment="1" applyProtection="1">
      <alignment horizontal="left" vertical="center" wrapText="1"/>
      <protection locked="0"/>
    </xf>
    <xf numFmtId="0" fontId="22" fillId="7" borderId="21" xfId="1" applyFont="1" applyFill="1" applyBorder="1" applyAlignment="1">
      <alignment horizontal="left" vertical="center" wrapText="1"/>
    </xf>
    <xf numFmtId="0" fontId="22" fillId="7" borderId="45" xfId="1" applyFont="1" applyFill="1" applyBorder="1" applyAlignment="1">
      <alignment horizontal="left" vertical="center" wrapText="1"/>
    </xf>
    <xf numFmtId="0" fontId="30" fillId="0" borderId="56" xfId="1" applyFont="1" applyBorder="1" applyAlignment="1">
      <alignment horizontal="center" vertical="center"/>
    </xf>
    <xf numFmtId="0" fontId="22" fillId="7" borderId="57" xfId="1" applyFont="1" applyFill="1" applyBorder="1" applyAlignment="1">
      <alignment horizontal="left" vertical="center" wrapText="1"/>
    </xf>
    <xf numFmtId="0" fontId="22" fillId="0" borderId="25" xfId="1" applyFont="1" applyBorder="1" applyAlignment="1" applyProtection="1">
      <alignment horizontal="left" vertical="center" wrapText="1"/>
      <protection locked="0"/>
    </xf>
    <xf numFmtId="0" fontId="22" fillId="0" borderId="59" xfId="1" applyFont="1" applyBorder="1" applyAlignment="1">
      <alignment horizontal="center" vertical="center"/>
    </xf>
    <xf numFmtId="49" fontId="22" fillId="0" borderId="60" xfId="1" applyNumberFormat="1" applyFont="1" applyBorder="1"/>
    <xf numFmtId="49" fontId="22" fillId="0" borderId="61" xfId="1" applyNumberFormat="1" applyFont="1" applyBorder="1"/>
    <xf numFmtId="0" fontId="22" fillId="0" borderId="62" xfId="1" quotePrefix="1" applyFont="1" applyBorder="1" applyAlignment="1">
      <alignment horizontal="center" vertical="center"/>
    </xf>
    <xf numFmtId="0" fontId="22" fillId="7" borderId="63" xfId="1" applyFont="1" applyFill="1" applyBorder="1" applyAlignment="1">
      <alignment horizontal="left" vertical="center" wrapText="1"/>
    </xf>
    <xf numFmtId="0" fontId="22" fillId="0" borderId="64" xfId="1" applyFont="1" applyBorder="1" applyAlignment="1" applyProtection="1">
      <alignment horizontal="left" vertical="center" wrapText="1"/>
      <protection locked="0"/>
    </xf>
    <xf numFmtId="0" fontId="22" fillId="0" borderId="65" xfId="1" applyFont="1" applyBorder="1" applyAlignment="1" applyProtection="1">
      <alignment horizontal="left" vertical="center" wrapText="1"/>
      <protection locked="0"/>
    </xf>
    <xf numFmtId="0" fontId="22" fillId="0" borderId="64" xfId="1" applyFont="1" applyBorder="1" applyAlignment="1">
      <alignment vertical="top" wrapText="1"/>
    </xf>
    <xf numFmtId="0" fontId="22" fillId="0" borderId="67" xfId="1" applyFont="1" applyBorder="1" applyAlignment="1">
      <alignment vertical="top" wrapText="1"/>
    </xf>
    <xf numFmtId="49" fontId="22" fillId="0" borderId="31" xfId="1" applyNumberFormat="1" applyFont="1" applyBorder="1"/>
    <xf numFmtId="49" fontId="22" fillId="0" borderId="68" xfId="1" applyNumberFormat="1" applyFont="1" applyBorder="1"/>
    <xf numFmtId="0" fontId="22" fillId="0" borderId="59" xfId="1" quotePrefix="1" applyFont="1" applyBorder="1" applyAlignment="1">
      <alignment horizontal="center" vertical="center"/>
    </xf>
    <xf numFmtId="0" fontId="22" fillId="7" borderId="69" xfId="1" applyFont="1" applyFill="1" applyBorder="1" applyAlignment="1">
      <alignment horizontal="left" vertical="center" wrapText="1"/>
    </xf>
    <xf numFmtId="0" fontId="22" fillId="0" borderId="20" xfId="1" applyFont="1" applyBorder="1" applyAlignment="1">
      <alignment horizontal="left" vertical="center" wrapText="1"/>
    </xf>
    <xf numFmtId="0" fontId="22" fillId="0" borderId="20" xfId="1" applyFont="1" applyBorder="1" applyAlignment="1">
      <alignment vertical="top" wrapText="1"/>
    </xf>
    <xf numFmtId="0" fontId="22" fillId="0" borderId="71" xfId="1" applyFont="1" applyBorder="1" applyAlignment="1">
      <alignment vertical="top" wrapText="1"/>
    </xf>
    <xf numFmtId="0" fontId="22" fillId="7" borderId="54" xfId="1" applyFont="1" applyFill="1" applyBorder="1" applyAlignment="1">
      <alignment horizontal="left" vertical="center" wrapText="1"/>
    </xf>
    <xf numFmtId="0" fontId="22" fillId="0" borderId="22" xfId="1" applyFont="1" applyBorder="1" applyAlignment="1">
      <alignment horizontal="left" vertical="center" wrapText="1"/>
    </xf>
    <xf numFmtId="0" fontId="22" fillId="7" borderId="25" xfId="1" applyFont="1" applyFill="1" applyBorder="1" applyAlignment="1">
      <alignment horizontal="left" vertical="center" wrapText="1"/>
    </xf>
    <xf numFmtId="0" fontId="22" fillId="0" borderId="24" xfId="1" applyFont="1" applyBorder="1" applyAlignment="1" applyProtection="1">
      <alignment horizontal="left" vertical="center" wrapText="1"/>
      <protection locked="0"/>
    </xf>
    <xf numFmtId="0" fontId="30" fillId="0" borderId="26" xfId="1" applyFont="1" applyBorder="1" applyAlignment="1">
      <alignment horizontal="center" vertical="center"/>
    </xf>
    <xf numFmtId="0" fontId="22" fillId="0" borderId="42" xfId="1" applyFont="1" applyBorder="1" applyAlignment="1">
      <alignment horizontal="center" vertical="center"/>
    </xf>
    <xf numFmtId="0" fontId="22" fillId="0" borderId="0" xfId="1" applyFont="1" applyProtection="1">
      <protection locked="0"/>
    </xf>
    <xf numFmtId="0" fontId="22" fillId="7" borderId="22" xfId="2" applyFont="1" applyFill="1" applyBorder="1" applyAlignment="1">
      <alignment horizontal="left" vertical="center" wrapText="1"/>
    </xf>
    <xf numFmtId="0" fontId="22" fillId="0" borderId="55" xfId="2" applyFont="1" applyBorder="1" applyAlignment="1">
      <alignment horizontal="left" vertical="center" wrapText="1"/>
    </xf>
    <xf numFmtId="0" fontId="22" fillId="0" borderId="52" xfId="1" applyFont="1" applyBorder="1" applyAlignment="1">
      <alignment horizontal="center" vertical="center"/>
    </xf>
    <xf numFmtId="0" fontId="22" fillId="7" borderId="66" xfId="1" applyFont="1" applyFill="1" applyBorder="1" applyAlignment="1">
      <alignment horizontal="left" vertical="center" wrapText="1"/>
    </xf>
    <xf numFmtId="0" fontId="22" fillId="7" borderId="65" xfId="1" applyFont="1" applyFill="1" applyBorder="1" applyAlignment="1" applyProtection="1">
      <alignment horizontal="left" vertical="center" wrapText="1"/>
      <protection locked="0"/>
    </xf>
    <xf numFmtId="0" fontId="22" fillId="0" borderId="62" xfId="1" applyFont="1" applyBorder="1" applyAlignment="1">
      <alignment horizontal="center" vertical="center"/>
    </xf>
    <xf numFmtId="0" fontId="22" fillId="0" borderId="23" xfId="1" applyFont="1" applyBorder="1" applyAlignment="1">
      <alignment horizontal="center" vertical="center"/>
    </xf>
    <xf numFmtId="0" fontId="22" fillId="0" borderId="0" xfId="1" applyFont="1" applyAlignment="1" applyProtection="1">
      <alignment vertical="center"/>
      <protection locked="0"/>
    </xf>
    <xf numFmtId="0" fontId="22" fillId="0" borderId="66" xfId="1" applyFont="1" applyBorder="1" applyAlignment="1">
      <alignment horizontal="left" vertical="center" wrapText="1"/>
    </xf>
    <xf numFmtId="0" fontId="22" fillId="7" borderId="64" xfId="1" applyFont="1" applyFill="1" applyBorder="1" applyAlignment="1">
      <alignment horizontal="left" vertical="center" wrapText="1"/>
    </xf>
    <xf numFmtId="0" fontId="22" fillId="7" borderId="20" xfId="1" applyFont="1" applyFill="1" applyBorder="1" applyAlignment="1">
      <alignment horizontal="left" vertical="center" wrapText="1"/>
    </xf>
    <xf numFmtId="0" fontId="22" fillId="0" borderId="58" xfId="1" applyFont="1" applyBorder="1" applyAlignment="1">
      <alignment horizontal="left" vertical="center" wrapText="1"/>
    </xf>
    <xf numFmtId="0" fontId="22" fillId="7" borderId="21" xfId="1" applyFont="1" applyFill="1" applyBorder="1" applyAlignment="1">
      <alignment vertical="center" wrapText="1"/>
    </xf>
    <xf numFmtId="0" fontId="22" fillId="7" borderId="64" xfId="2" applyFont="1" applyFill="1" applyBorder="1" applyAlignment="1">
      <alignment vertical="center" wrapText="1"/>
    </xf>
    <xf numFmtId="0" fontId="22" fillId="7" borderId="25" xfId="1" applyFont="1" applyFill="1" applyBorder="1" applyAlignment="1">
      <alignment vertical="center" wrapText="1"/>
    </xf>
    <xf numFmtId="0" fontId="22" fillId="7" borderId="64" xfId="1" applyFont="1" applyFill="1" applyBorder="1" applyAlignment="1">
      <alignment vertical="center" wrapText="1"/>
    </xf>
    <xf numFmtId="0" fontId="22" fillId="7" borderId="25" xfId="2" applyFont="1" applyFill="1" applyBorder="1" applyAlignment="1">
      <alignment vertical="center" wrapText="1"/>
    </xf>
    <xf numFmtId="0" fontId="22" fillId="7" borderId="44" xfId="1" applyFont="1" applyFill="1" applyBorder="1" applyAlignment="1">
      <alignment vertical="center" wrapText="1"/>
    </xf>
    <xf numFmtId="0" fontId="22" fillId="7" borderId="47" xfId="1" applyFont="1" applyFill="1" applyBorder="1" applyAlignment="1">
      <alignment horizontal="left" vertical="top" wrapText="1"/>
    </xf>
    <xf numFmtId="0" fontId="22" fillId="7" borderId="72" xfId="2" applyFont="1" applyFill="1" applyBorder="1" applyAlignment="1">
      <alignment vertical="center" wrapText="1"/>
    </xf>
    <xf numFmtId="0" fontId="22" fillId="7" borderId="55" xfId="2" applyFont="1" applyFill="1" applyBorder="1" applyAlignment="1">
      <alignment horizontal="left" vertical="center" wrapText="1"/>
    </xf>
    <xf numFmtId="0" fontId="22" fillId="7" borderId="57" xfId="1" applyFont="1" applyFill="1" applyBorder="1" applyAlignment="1">
      <alignment vertical="center" wrapText="1"/>
    </xf>
    <xf numFmtId="0" fontId="22" fillId="0" borderId="60" xfId="1" applyFont="1" applyBorder="1" applyAlignment="1">
      <alignment horizontal="left" vertical="center" wrapText="1"/>
    </xf>
    <xf numFmtId="0" fontId="22" fillId="7" borderId="73" xfId="1" applyFont="1" applyFill="1" applyBorder="1" applyAlignment="1">
      <alignment horizontal="left" vertical="center" wrapText="1"/>
    </xf>
    <xf numFmtId="0" fontId="22" fillId="0" borderId="11" xfId="1" applyFont="1" applyBorder="1" applyAlignment="1">
      <alignment horizontal="left" vertical="center" wrapText="1"/>
    </xf>
    <xf numFmtId="0" fontId="22" fillId="7" borderId="53" xfId="1" applyFont="1" applyFill="1" applyBorder="1" applyAlignment="1">
      <alignment horizontal="left" vertical="center" wrapText="1"/>
    </xf>
    <xf numFmtId="0" fontId="22" fillId="0" borderId="74" xfId="1" applyFont="1" applyBorder="1" applyAlignment="1">
      <alignment horizontal="left" vertical="center" wrapText="1"/>
    </xf>
    <xf numFmtId="0" fontId="22" fillId="0" borderId="65" xfId="1" applyFont="1" applyBorder="1" applyAlignment="1">
      <alignment horizontal="left" vertical="center" wrapText="1"/>
    </xf>
    <xf numFmtId="0" fontId="22" fillId="7" borderId="37" xfId="2" applyFont="1" applyFill="1" applyBorder="1" applyAlignment="1">
      <alignment horizontal="left" vertical="center" wrapText="1"/>
    </xf>
    <xf numFmtId="0" fontId="22" fillId="0" borderId="24" xfId="3" applyFont="1" applyBorder="1" applyAlignment="1">
      <alignment horizontal="left" vertical="center" wrapText="1"/>
    </xf>
    <xf numFmtId="0" fontId="30" fillId="0" borderId="26" xfId="3" applyFont="1" applyBorder="1" applyAlignment="1">
      <alignment horizontal="center" vertical="center"/>
    </xf>
    <xf numFmtId="49" fontId="22" fillId="0" borderId="24" xfId="3" applyNumberFormat="1" applyFont="1" applyBorder="1" applyAlignment="1">
      <alignment vertical="top"/>
    </xf>
    <xf numFmtId="49" fontId="22" fillId="0" borderId="61" xfId="3" applyNumberFormat="1" applyFont="1" applyBorder="1" applyAlignment="1">
      <alignment vertical="top"/>
    </xf>
    <xf numFmtId="0" fontId="22" fillId="0" borderId="0" xfId="3" applyFont="1"/>
    <xf numFmtId="0" fontId="22" fillId="7" borderId="44" xfId="3" applyFont="1" applyFill="1" applyBorder="1" applyAlignment="1">
      <alignment horizontal="left" vertical="center" wrapText="1"/>
    </xf>
    <xf numFmtId="0" fontId="22" fillId="0" borderId="45" xfId="3" applyFont="1" applyBorder="1" applyAlignment="1" applyProtection="1">
      <alignment horizontal="left" vertical="center" wrapText="1"/>
      <protection locked="0"/>
    </xf>
    <xf numFmtId="0" fontId="22" fillId="0" borderId="43" xfId="3" applyFont="1" applyBorder="1" applyAlignment="1">
      <alignment horizontal="center" vertical="center"/>
    </xf>
    <xf numFmtId="0" fontId="30" fillId="0" borderId="46" xfId="3" applyFont="1" applyBorder="1" applyAlignment="1">
      <alignment horizontal="center" vertical="center"/>
    </xf>
    <xf numFmtId="49" fontId="22" fillId="0" borderId="45" xfId="3" applyNumberFormat="1" applyFont="1" applyBorder="1" applyAlignment="1">
      <alignment vertical="top"/>
    </xf>
    <xf numFmtId="49" fontId="22" fillId="0" borderId="48" xfId="3" applyNumberFormat="1" applyFont="1" applyBorder="1" applyAlignment="1">
      <alignment vertical="top"/>
    </xf>
    <xf numFmtId="0" fontId="22" fillId="7" borderId="66" xfId="3" applyFont="1" applyFill="1" applyBorder="1" applyAlignment="1">
      <alignment horizontal="left" vertical="center" wrapText="1"/>
    </xf>
    <xf numFmtId="0" fontId="22" fillId="0" borderId="65" xfId="3" applyFont="1" applyBorder="1" applyAlignment="1">
      <alignment horizontal="left" vertical="center" wrapText="1"/>
    </xf>
    <xf numFmtId="0" fontId="22" fillId="0" borderId="62" xfId="3" applyFont="1" applyBorder="1" applyAlignment="1">
      <alignment horizontal="center" vertical="center"/>
    </xf>
    <xf numFmtId="0" fontId="30" fillId="0" borderId="56" xfId="3" applyFont="1" applyBorder="1" applyAlignment="1">
      <alignment horizontal="center" vertical="center"/>
    </xf>
    <xf numFmtId="49" fontId="22" fillId="0" borderId="65" xfId="3" applyNumberFormat="1" applyFont="1" applyBorder="1" applyAlignment="1">
      <alignment vertical="top"/>
    </xf>
    <xf numFmtId="49" fontId="22" fillId="0" borderId="68" xfId="3" applyNumberFormat="1" applyFont="1" applyBorder="1" applyAlignment="1">
      <alignment vertical="top"/>
    </xf>
    <xf numFmtId="0" fontId="22" fillId="7" borderId="22" xfId="1" applyFont="1" applyFill="1" applyBorder="1" applyAlignment="1">
      <alignment vertical="center" wrapText="1"/>
    </xf>
    <xf numFmtId="0" fontId="22" fillId="0" borderId="0" xfId="1" quotePrefix="1" applyFont="1"/>
    <xf numFmtId="0" fontId="22" fillId="0" borderId="0" xfId="1" applyFont="1" applyAlignment="1">
      <alignment vertical="center"/>
    </xf>
    <xf numFmtId="0" fontId="22" fillId="7" borderId="0" xfId="1" applyFont="1" applyFill="1" applyAlignment="1">
      <alignment vertical="center" wrapText="1"/>
    </xf>
    <xf numFmtId="0" fontId="22" fillId="0" borderId="0" xfId="1" applyFont="1" applyAlignment="1">
      <alignment horizontal="center" vertical="center" wrapText="1"/>
    </xf>
    <xf numFmtId="0" fontId="22" fillId="0" borderId="75" xfId="1" applyFont="1" applyBorder="1" applyAlignment="1">
      <alignment horizontal="center" vertical="center" wrapText="1"/>
    </xf>
    <xf numFmtId="0" fontId="22" fillId="0" borderId="75" xfId="1" applyFont="1" applyBorder="1" applyAlignment="1">
      <alignment vertical="center"/>
    </xf>
    <xf numFmtId="0" fontId="22" fillId="0" borderId="76" xfId="1" applyFont="1" applyBorder="1" applyAlignment="1">
      <alignment vertical="center"/>
    </xf>
    <xf numFmtId="0" fontId="22" fillId="0" borderId="0" xfId="1" applyFont="1" applyAlignment="1">
      <alignment horizontal="left" vertical="top" wrapText="1"/>
    </xf>
    <xf numFmtId="0" fontId="22" fillId="0" borderId="0" xfId="1" applyFont="1" applyAlignment="1">
      <alignment vertical="top" wrapText="1"/>
    </xf>
    <xf numFmtId="0" fontId="34" fillId="0" borderId="0" xfId="1" applyFont="1"/>
    <xf numFmtId="0" fontId="35" fillId="0" borderId="0" xfId="1" applyFont="1" applyAlignment="1">
      <alignment vertical="center"/>
    </xf>
    <xf numFmtId="49" fontId="30" fillId="0" borderId="0" xfId="1" applyNumberFormat="1" applyFont="1" applyAlignment="1">
      <alignment vertical="top"/>
    </xf>
    <xf numFmtId="167" fontId="22" fillId="0" borderId="75" xfId="1" applyNumberFormat="1" applyFont="1" applyBorder="1" applyAlignment="1">
      <alignment vertical="center" shrinkToFit="1"/>
    </xf>
    <xf numFmtId="167" fontId="22" fillId="0" borderId="76" xfId="1" applyNumberFormat="1" applyFont="1" applyBorder="1" applyAlignment="1">
      <alignment vertical="center" shrinkToFit="1"/>
    </xf>
    <xf numFmtId="49" fontId="36" fillId="0" borderId="0" xfId="1" applyNumberFormat="1" applyFont="1" applyAlignment="1">
      <alignment horizontal="center" vertical="center"/>
    </xf>
    <xf numFmtId="0" fontId="22" fillId="0" borderId="0" xfId="1" applyFont="1" applyAlignment="1">
      <alignment horizontal="left" vertical="top"/>
    </xf>
    <xf numFmtId="0" fontId="22" fillId="9" borderId="0" xfId="1" applyFont="1" applyFill="1" applyAlignment="1">
      <alignment horizontal="center" vertical="top" wrapText="1"/>
    </xf>
    <xf numFmtId="0" fontId="22" fillId="0" borderId="0" xfId="1" applyFont="1" applyAlignment="1">
      <alignment vertical="center" shrinkToFit="1"/>
    </xf>
    <xf numFmtId="49" fontId="22" fillId="0" borderId="0" xfId="1" applyNumberFormat="1" applyFont="1" applyAlignment="1">
      <alignment horizontal="right" vertical="center"/>
    </xf>
    <xf numFmtId="49" fontId="22" fillId="0" borderId="0" xfId="1" applyNumberFormat="1" applyFont="1" applyAlignment="1">
      <alignment horizontal="right" vertical="top"/>
    </xf>
    <xf numFmtId="0" fontId="37" fillId="0" borderId="0" xfId="1" applyFont="1" applyAlignment="1">
      <alignment horizontal="right"/>
    </xf>
    <xf numFmtId="0" fontId="2" fillId="0" borderId="0" xfId="0" applyFont="1" applyAlignment="1">
      <alignment horizontal="left" vertical="top" wrapText="1"/>
    </xf>
    <xf numFmtId="0" fontId="0" fillId="0" borderId="0" xfId="0"/>
    <xf numFmtId="0" fontId="1" fillId="0" borderId="0" xfId="0" applyFont="1" applyAlignment="1">
      <alignment horizontal="center" vertical="center" wrapText="1"/>
    </xf>
    <xf numFmtId="0" fontId="3" fillId="0" borderId="0" xfId="0" applyFont="1" applyAlignment="1">
      <alignment horizontal="left" vertical="top" wrapText="1"/>
    </xf>
    <xf numFmtId="0" fontId="2" fillId="4" borderId="0" xfId="0" applyFont="1" applyFill="1" applyAlignment="1">
      <alignment horizontal="left" vertical="top" wrapText="1"/>
    </xf>
    <xf numFmtId="0" fontId="3" fillId="0" borderId="2" xfId="0" applyFont="1" applyBorder="1"/>
    <xf numFmtId="0" fontId="0" fillId="0" borderId="3" xfId="0" applyBorder="1"/>
    <xf numFmtId="0" fontId="2" fillId="0" borderId="1" xfId="0" applyFont="1" applyBorder="1" applyAlignment="1">
      <alignment vertical="center" wrapText="1"/>
    </xf>
    <xf numFmtId="0" fontId="0" fillId="0" borderId="4" xfId="0" applyBorder="1"/>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7" fillId="0" borderId="0" xfId="0" applyFont="1" applyAlignment="1">
      <alignment horizontal="left" vertical="top" wrapText="1"/>
    </xf>
    <xf numFmtId="0" fontId="5" fillId="0" borderId="1" xfId="0" applyFont="1" applyBorder="1" applyAlignment="1">
      <alignment horizontal="center" vertical="center" wrapText="1"/>
    </xf>
    <xf numFmtId="0" fontId="0" fillId="0" borderId="5" xfId="0" applyBorder="1"/>
    <xf numFmtId="0" fontId="0" fillId="0" borderId="6" xfId="0" applyBorder="1"/>
    <xf numFmtId="0" fontId="0" fillId="0" borderId="1" xfId="0" applyBorder="1" applyAlignment="1">
      <alignment horizontal="center"/>
    </xf>
    <xf numFmtId="0" fontId="0" fillId="0" borderId="2" xfId="0" applyBorder="1"/>
    <xf numFmtId="0" fontId="22" fillId="0" borderId="65" xfId="1" applyFont="1" applyBorder="1" applyAlignment="1">
      <alignment horizontal="left" vertical="center" wrapText="1"/>
    </xf>
    <xf numFmtId="0" fontId="22" fillId="0" borderId="56" xfId="1" applyFont="1" applyBorder="1" applyAlignment="1">
      <alignment horizontal="left" vertical="center" wrapText="1"/>
    </xf>
    <xf numFmtId="0" fontId="22" fillId="0" borderId="66" xfId="1" applyFont="1" applyBorder="1" applyAlignment="1">
      <alignment horizontal="left" vertical="top" wrapText="1"/>
    </xf>
    <xf numFmtId="0" fontId="22" fillId="0" borderId="64" xfId="1" applyFont="1" applyBorder="1" applyAlignment="1">
      <alignment horizontal="left" vertical="top" wrapText="1"/>
    </xf>
    <xf numFmtId="0" fontId="22" fillId="0" borderId="56" xfId="1" applyFont="1" applyBorder="1" applyAlignment="1">
      <alignment horizontal="left" vertical="top" wrapText="1"/>
    </xf>
    <xf numFmtId="0" fontId="22" fillId="0" borderId="64" xfId="1" applyFont="1" applyBorder="1" applyAlignment="1">
      <alignment vertical="top" wrapText="1"/>
    </xf>
    <xf numFmtId="0" fontId="22" fillId="0" borderId="67" xfId="1" applyFont="1" applyBorder="1" applyAlignment="1">
      <alignment vertical="top" wrapText="1"/>
    </xf>
    <xf numFmtId="0" fontId="21" fillId="0" borderId="12" xfId="1" applyFont="1" applyBorder="1" applyAlignment="1">
      <alignment horizontal="left" vertical="top"/>
    </xf>
    <xf numFmtId="0" fontId="21" fillId="0" borderId="13" xfId="1" applyFont="1" applyBorder="1" applyAlignment="1">
      <alignment horizontal="left" vertical="top"/>
    </xf>
    <xf numFmtId="0" fontId="21" fillId="0" borderId="14" xfId="1" applyFont="1" applyBorder="1" applyAlignment="1">
      <alignment horizontal="left" vertical="top"/>
    </xf>
    <xf numFmtId="0" fontId="21" fillId="0" borderId="15" xfId="1" applyFont="1" applyBorder="1" applyAlignment="1">
      <alignment horizontal="left" vertical="top"/>
    </xf>
    <xf numFmtId="0" fontId="21" fillId="0" borderId="0" xfId="1" applyFont="1" applyAlignment="1">
      <alignment horizontal="left" vertical="top"/>
    </xf>
    <xf numFmtId="0" fontId="21" fillId="0" borderId="16" xfId="1" applyFont="1" applyBorder="1" applyAlignment="1">
      <alignment horizontal="left" vertical="top"/>
    </xf>
    <xf numFmtId="0" fontId="21" fillId="0" borderId="17" xfId="1" applyFont="1" applyBorder="1" applyAlignment="1">
      <alignment horizontal="left" vertical="top"/>
    </xf>
    <xf numFmtId="0" fontId="21" fillId="0" borderId="18" xfId="1" applyFont="1" applyBorder="1" applyAlignment="1">
      <alignment horizontal="left" vertical="top"/>
    </xf>
    <xf numFmtId="0" fontId="21" fillId="0" borderId="19" xfId="1" applyFont="1" applyBorder="1" applyAlignment="1">
      <alignment horizontal="left" vertical="top"/>
    </xf>
    <xf numFmtId="49" fontId="36" fillId="0" borderId="0" xfId="1" applyNumberFormat="1" applyFont="1" applyAlignment="1">
      <alignment horizontal="center" vertical="center"/>
    </xf>
    <xf numFmtId="0" fontId="22" fillId="0" borderId="65" xfId="3" applyFont="1" applyBorder="1" applyAlignment="1" applyProtection="1">
      <alignment horizontal="left" vertical="center" wrapText="1"/>
      <protection locked="0"/>
    </xf>
    <xf numFmtId="0" fontId="22" fillId="0" borderId="56" xfId="3" applyFont="1" applyBorder="1" applyAlignment="1" applyProtection="1">
      <alignment horizontal="left" vertical="center" wrapText="1"/>
      <protection locked="0"/>
    </xf>
    <xf numFmtId="0" fontId="22" fillId="0" borderId="66" xfId="3" applyFont="1" applyBorder="1" applyAlignment="1">
      <alignment vertical="top"/>
    </xf>
    <xf numFmtId="0" fontId="22" fillId="0" borderId="64" xfId="3" applyFont="1" applyBorder="1" applyAlignment="1">
      <alignment vertical="top"/>
    </xf>
    <xf numFmtId="0" fontId="22" fillId="0" borderId="56" xfId="3" applyFont="1" applyBorder="1" applyAlignment="1">
      <alignment vertical="top"/>
    </xf>
    <xf numFmtId="0" fontId="22" fillId="0" borderId="23" xfId="1" applyFont="1" applyBorder="1" applyAlignment="1">
      <alignment horizontal="center" vertical="center" wrapText="1"/>
    </xf>
    <xf numFmtId="0" fontId="22" fillId="0" borderId="42" xfId="1" applyFont="1" applyBorder="1" applyAlignment="1">
      <alignment horizontal="center" vertical="center"/>
    </xf>
    <xf numFmtId="0" fontId="22" fillId="0" borderId="30" xfId="1" applyFont="1" applyBorder="1" applyAlignment="1">
      <alignment horizontal="center" vertical="center"/>
    </xf>
    <xf numFmtId="0" fontId="22" fillId="7" borderId="24" xfId="1" applyFont="1" applyFill="1" applyBorder="1" applyAlignment="1" applyProtection="1">
      <alignment horizontal="left" vertical="center" wrapText="1"/>
      <protection locked="0"/>
    </xf>
    <xf numFmtId="0" fontId="22" fillId="7" borderId="26" xfId="1" applyFont="1" applyFill="1" applyBorder="1" applyAlignment="1" applyProtection="1">
      <alignment horizontal="left" vertical="center" wrapText="1"/>
      <protection locked="0"/>
    </xf>
    <xf numFmtId="0" fontId="22" fillId="0" borderId="37" xfId="1" applyFont="1" applyBorder="1" applyAlignment="1">
      <alignment horizontal="left" vertical="top" wrapText="1"/>
    </xf>
    <xf numFmtId="0" fontId="22" fillId="0" borderId="25" xfId="1" applyFont="1" applyBorder="1" applyAlignment="1">
      <alignment horizontal="left" vertical="top" wrapText="1"/>
    </xf>
    <xf numFmtId="0" fontId="22" fillId="0" borderId="26" xfId="1" applyFont="1" applyBorder="1" applyAlignment="1">
      <alignment horizontal="left" vertical="top" wrapText="1"/>
    </xf>
    <xf numFmtId="0" fontId="22" fillId="0" borderId="25" xfId="1" applyFont="1" applyBorder="1" applyAlignment="1">
      <alignment vertical="top" wrapText="1"/>
    </xf>
    <xf numFmtId="0" fontId="22" fillId="0" borderId="39" xfId="1" applyFont="1" applyBorder="1" applyAlignment="1">
      <alignment vertical="top" wrapText="1"/>
    </xf>
    <xf numFmtId="0" fontId="22" fillId="0" borderId="45" xfId="1" applyFont="1" applyBorder="1" applyAlignment="1">
      <alignment horizontal="left" vertical="center" wrapText="1"/>
    </xf>
    <xf numFmtId="0" fontId="22" fillId="0" borderId="46" xfId="1" applyFont="1" applyBorder="1" applyAlignment="1">
      <alignment horizontal="left" vertical="center" wrapText="1"/>
    </xf>
    <xf numFmtId="0" fontId="22" fillId="0" borderId="44" xfId="1" applyFont="1" applyBorder="1" applyAlignment="1">
      <alignment horizontal="left" vertical="top" wrapText="1"/>
    </xf>
    <xf numFmtId="0" fontId="22" fillId="0" borderId="21" xfId="1" applyFont="1" applyBorder="1" applyAlignment="1">
      <alignment horizontal="left" vertical="top" wrapText="1"/>
    </xf>
    <xf numFmtId="0" fontId="22" fillId="0" borderId="46" xfId="1" applyFont="1" applyBorder="1" applyAlignment="1">
      <alignment horizontal="left" vertical="top" wrapText="1"/>
    </xf>
    <xf numFmtId="0" fontId="22" fillId="0" borderId="21" xfId="1" applyFont="1" applyBorder="1" applyAlignment="1">
      <alignment vertical="top" wrapText="1"/>
    </xf>
    <xf numFmtId="0" fontId="22" fillId="0" borderId="47" xfId="1" applyFont="1" applyBorder="1" applyAlignment="1">
      <alignment vertical="top" wrapText="1"/>
    </xf>
    <xf numFmtId="0" fontId="22" fillId="0" borderId="53" xfId="1" applyFont="1" applyBorder="1" applyAlignment="1">
      <alignment horizontal="left" vertical="top" wrapText="1"/>
    </xf>
    <xf numFmtId="0" fontId="22" fillId="0" borderId="22" xfId="1" applyFont="1" applyBorder="1" applyAlignment="1">
      <alignment horizontal="left" vertical="top" wrapText="1"/>
    </xf>
    <xf numFmtId="0" fontId="22" fillId="0" borderId="49" xfId="1" applyFont="1" applyBorder="1" applyAlignment="1">
      <alignment horizontal="left" vertical="top" wrapText="1"/>
    </xf>
    <xf numFmtId="0" fontId="22" fillId="0" borderId="22" xfId="1" applyFont="1" applyBorder="1" applyAlignment="1">
      <alignment vertical="top" wrapText="1"/>
    </xf>
    <xf numFmtId="0" fontId="22" fillId="0" borderId="54" xfId="1" applyFont="1" applyBorder="1" applyAlignment="1">
      <alignment vertical="top" wrapText="1"/>
    </xf>
    <xf numFmtId="0" fontId="25" fillId="0" borderId="42" xfId="1" applyFont="1" applyBorder="1" applyAlignment="1">
      <alignment horizontal="center" vertical="center" wrapText="1" shrinkToFit="1"/>
    </xf>
    <xf numFmtId="0" fontId="25" fillId="0" borderId="30" xfId="1" applyFont="1" applyBorder="1" applyAlignment="1">
      <alignment horizontal="center" vertical="center" wrapText="1" shrinkToFit="1"/>
    </xf>
    <xf numFmtId="0" fontId="22" fillId="0" borderId="24" xfId="2" applyFont="1" applyBorder="1" applyAlignment="1">
      <alignment horizontal="left" vertical="center" wrapText="1"/>
    </xf>
    <xf numFmtId="0" fontId="22" fillId="0" borderId="26" xfId="2" applyFont="1" applyBorder="1" applyAlignment="1">
      <alignment horizontal="left" vertical="center" wrapText="1"/>
    </xf>
    <xf numFmtId="0" fontId="22" fillId="0" borderId="37" xfId="3" applyFont="1" applyBorder="1" applyAlignment="1">
      <alignment vertical="top"/>
    </xf>
    <xf numFmtId="0" fontId="22" fillId="0" borderId="25" xfId="3" applyFont="1" applyBorder="1" applyAlignment="1">
      <alignment vertical="top"/>
    </xf>
    <xf numFmtId="0" fontId="22" fillId="0" borderId="26" xfId="3" applyFont="1" applyBorder="1" applyAlignment="1">
      <alignment vertical="top"/>
    </xf>
    <xf numFmtId="0" fontId="22" fillId="0" borderId="45" xfId="3" applyFont="1" applyBorder="1" applyAlignment="1" applyProtection="1">
      <alignment horizontal="left" vertical="center" wrapText="1"/>
      <protection locked="0"/>
    </xf>
    <xf numFmtId="0" fontId="22" fillId="0" borderId="46" xfId="3" applyFont="1" applyBorder="1" applyAlignment="1" applyProtection="1">
      <alignment horizontal="left" vertical="center" wrapText="1"/>
      <protection locked="0"/>
    </xf>
    <xf numFmtId="0" fontId="22" fillId="0" borderId="44" xfId="3" applyFont="1" applyBorder="1" applyAlignment="1">
      <alignment vertical="top"/>
    </xf>
    <xf numFmtId="0" fontId="22" fillId="0" borderId="21" xfId="3" applyFont="1" applyBorder="1" applyAlignment="1">
      <alignment vertical="top"/>
    </xf>
    <xf numFmtId="0" fontId="22" fillId="0" borderId="46" xfId="3" applyFont="1" applyBorder="1" applyAlignment="1">
      <alignment vertical="top"/>
    </xf>
    <xf numFmtId="0" fontId="22" fillId="0" borderId="42" xfId="1" applyFont="1" applyBorder="1" applyAlignment="1">
      <alignment horizontal="center" vertical="center" wrapText="1"/>
    </xf>
    <xf numFmtId="0" fontId="22" fillId="0" borderId="30" xfId="1" applyFont="1" applyBorder="1" applyAlignment="1">
      <alignment horizontal="center" vertical="center" wrapText="1"/>
    </xf>
    <xf numFmtId="0" fontId="22" fillId="0" borderId="70" xfId="1" applyFont="1" applyBorder="1" applyAlignment="1">
      <alignment horizontal="left" vertical="top" wrapText="1"/>
    </xf>
    <xf numFmtId="0" fontId="22" fillId="0" borderId="20" xfId="1" applyFont="1" applyBorder="1" applyAlignment="1">
      <alignment horizontal="left" vertical="top" wrapText="1"/>
    </xf>
    <xf numFmtId="0" fontId="22" fillId="0" borderId="38" xfId="1" applyFont="1" applyBorder="1" applyAlignment="1">
      <alignment horizontal="left" vertical="top" wrapText="1"/>
    </xf>
    <xf numFmtId="0" fontId="22" fillId="0" borderId="20" xfId="1" applyFont="1" applyBorder="1" applyAlignment="1">
      <alignment vertical="top" wrapText="1"/>
    </xf>
    <xf numFmtId="0" fontId="22" fillId="0" borderId="71" xfId="1" applyFont="1" applyBorder="1" applyAlignment="1">
      <alignment vertical="top" wrapText="1"/>
    </xf>
    <xf numFmtId="0" fontId="22" fillId="0" borderId="46" xfId="1" applyFont="1" applyBorder="1" applyAlignment="1">
      <alignment horizontal="left" vertical="center"/>
    </xf>
    <xf numFmtId="0" fontId="22" fillId="0" borderId="45" xfId="1" applyFont="1" applyBorder="1" applyAlignment="1" applyProtection="1">
      <alignment horizontal="left" vertical="center" wrapText="1"/>
      <protection locked="0"/>
    </xf>
    <xf numFmtId="0" fontId="22" fillId="0" borderId="46" xfId="1" applyFont="1" applyBorder="1" applyAlignment="1" applyProtection="1">
      <alignment horizontal="left" vertical="center" wrapText="1"/>
      <protection locked="0"/>
    </xf>
    <xf numFmtId="0" fontId="22" fillId="0" borderId="44" xfId="1" applyFont="1" applyBorder="1" applyAlignment="1">
      <alignment horizontal="left" vertical="top" shrinkToFit="1"/>
    </xf>
    <xf numFmtId="0" fontId="22" fillId="0" borderId="21" xfId="1" applyFont="1" applyBorder="1" applyAlignment="1">
      <alignment horizontal="left" vertical="top" shrinkToFit="1"/>
    </xf>
    <xf numFmtId="0" fontId="22" fillId="0" borderId="46" xfId="1" applyFont="1" applyBorder="1" applyAlignment="1">
      <alignment horizontal="left" vertical="top" shrinkToFit="1"/>
    </xf>
    <xf numFmtId="0" fontId="22" fillId="0" borderId="65" xfId="2" applyFont="1" applyBorder="1" applyAlignment="1">
      <alignment horizontal="left" vertical="center" wrapText="1"/>
    </xf>
    <xf numFmtId="0" fontId="22" fillId="0" borderId="56" xfId="2" applyFont="1" applyBorder="1" applyAlignment="1">
      <alignment horizontal="left" vertical="center" wrapText="1"/>
    </xf>
    <xf numFmtId="0" fontId="22" fillId="0" borderId="65" xfId="1" applyFont="1" applyBorder="1" applyAlignment="1" applyProtection="1">
      <alignment horizontal="left" vertical="center" wrapText="1"/>
      <protection locked="0"/>
    </xf>
    <xf numFmtId="0" fontId="22" fillId="0" borderId="56" xfId="1" applyFont="1" applyBorder="1" applyAlignment="1" applyProtection="1">
      <alignment horizontal="left" vertical="center" wrapText="1"/>
      <protection locked="0"/>
    </xf>
    <xf numFmtId="0" fontId="22" fillId="0" borderId="23" xfId="1" applyFont="1" applyBorder="1" applyAlignment="1" applyProtection="1">
      <alignment horizontal="center" vertical="center" wrapText="1"/>
      <protection locked="0"/>
    </xf>
    <xf numFmtId="0" fontId="22" fillId="0" borderId="42" xfId="1" applyFont="1" applyBorder="1" applyAlignment="1" applyProtection="1">
      <alignment horizontal="center" vertical="center" wrapText="1"/>
      <protection locked="0"/>
    </xf>
    <xf numFmtId="0" fontId="22" fillId="0" borderId="24" xfId="1" applyFont="1" applyBorder="1" applyAlignment="1" applyProtection="1">
      <alignment horizontal="left" vertical="center" wrapText="1"/>
      <protection locked="0"/>
    </xf>
    <xf numFmtId="0" fontId="22" fillId="0" borderId="26" xfId="1" applyFont="1" applyBorder="1" applyAlignment="1" applyProtection="1">
      <alignment horizontal="left" vertical="center" wrapText="1"/>
      <protection locked="0"/>
    </xf>
    <xf numFmtId="0" fontId="22" fillId="7" borderId="45" xfId="1" applyFont="1" applyFill="1" applyBorder="1" applyAlignment="1" applyProtection="1">
      <alignment horizontal="left" vertical="center" wrapText="1"/>
      <protection locked="0"/>
    </xf>
    <xf numFmtId="0" fontId="22" fillId="7" borderId="46" xfId="1" applyFont="1" applyFill="1" applyBorder="1" applyAlignment="1" applyProtection="1">
      <alignment horizontal="left" vertical="center" wrapText="1"/>
      <protection locked="0"/>
    </xf>
    <xf numFmtId="0" fontId="22" fillId="0" borderId="30" xfId="1" applyFont="1" applyBorder="1" applyAlignment="1" applyProtection="1">
      <alignment horizontal="center" vertical="center"/>
      <protection locked="0"/>
    </xf>
    <xf numFmtId="0" fontId="22" fillId="7" borderId="65" xfId="1" applyFont="1" applyFill="1" applyBorder="1" applyAlignment="1" applyProtection="1">
      <alignment horizontal="left" vertical="center" wrapText="1"/>
      <protection locked="0"/>
    </xf>
    <xf numFmtId="0" fontId="22" fillId="7" borderId="56" xfId="1" applyFont="1" applyFill="1" applyBorder="1" applyAlignment="1" applyProtection="1">
      <alignment horizontal="left" vertical="center" wrapText="1"/>
      <protection locked="0"/>
    </xf>
    <xf numFmtId="0" fontId="22" fillId="7" borderId="45" xfId="2" applyFont="1" applyFill="1" applyBorder="1" applyAlignment="1">
      <alignment horizontal="left" vertical="center" wrapText="1"/>
    </xf>
    <xf numFmtId="0" fontId="22" fillId="7" borderId="46" xfId="2" applyFont="1" applyFill="1" applyBorder="1" applyAlignment="1">
      <alignment horizontal="left" vertical="center" wrapText="1"/>
    </xf>
    <xf numFmtId="0" fontId="22" fillId="0" borderId="24" xfId="1" applyFont="1" applyBorder="1" applyAlignment="1">
      <alignment horizontal="left" vertical="center" wrapText="1"/>
    </xf>
    <xf numFmtId="0" fontId="22" fillId="0" borderId="26" xfId="1" applyFont="1" applyBorder="1" applyAlignment="1">
      <alignment horizontal="left" vertical="center" wrapText="1"/>
    </xf>
    <xf numFmtId="0" fontId="22" fillId="7" borderId="45" xfId="1" applyFont="1" applyFill="1" applyBorder="1" applyAlignment="1">
      <alignment horizontal="left" vertical="center" wrapText="1"/>
    </xf>
    <xf numFmtId="0" fontId="22" fillId="7" borderId="46" xfId="1" applyFont="1" applyFill="1" applyBorder="1" applyAlignment="1">
      <alignment horizontal="left" vertical="center" wrapText="1"/>
    </xf>
    <xf numFmtId="0" fontId="22" fillId="0" borderId="58" xfId="1" applyFont="1" applyBorder="1" applyAlignment="1" applyProtection="1">
      <alignment horizontal="left" vertical="center" wrapText="1"/>
      <protection locked="0"/>
    </xf>
    <xf numFmtId="0" fontId="22" fillId="0" borderId="38" xfId="1" applyFont="1" applyBorder="1" applyAlignment="1" applyProtection="1">
      <alignment horizontal="left" vertical="center" wrapText="1"/>
      <protection locked="0"/>
    </xf>
    <xf numFmtId="0" fontId="22" fillId="0" borderId="45" xfId="2" applyFont="1" applyBorder="1" applyAlignment="1">
      <alignment horizontal="left" vertical="center" wrapText="1"/>
    </xf>
    <xf numFmtId="0" fontId="22" fillId="0" borderId="46" xfId="2" applyFont="1" applyBorder="1" applyAlignment="1">
      <alignment horizontal="left" vertical="center" wrapText="1"/>
    </xf>
    <xf numFmtId="0" fontId="22" fillId="0" borderId="44" xfId="1" applyFont="1" applyBorder="1" applyAlignment="1">
      <alignment horizontal="left" vertical="center" wrapText="1"/>
    </xf>
    <xf numFmtId="0" fontId="22" fillId="0" borderId="21" xfId="1" applyFont="1" applyBorder="1" applyAlignment="1">
      <alignment horizontal="left" vertical="center" wrapText="1"/>
    </xf>
    <xf numFmtId="0" fontId="22" fillId="8" borderId="12" xfId="1" applyFont="1" applyFill="1" applyBorder="1" applyAlignment="1">
      <alignment horizontal="center" vertical="center" wrapText="1"/>
    </xf>
    <xf numFmtId="0" fontId="22" fillId="8" borderId="13" xfId="1" applyFont="1" applyFill="1" applyBorder="1" applyAlignment="1">
      <alignment horizontal="center" vertical="center"/>
    </xf>
    <xf numFmtId="0" fontId="22" fillId="8" borderId="14" xfId="1" applyFont="1" applyFill="1" applyBorder="1" applyAlignment="1">
      <alignment horizontal="center" vertical="center"/>
    </xf>
    <xf numFmtId="0" fontId="22" fillId="8" borderId="17" xfId="1" applyFont="1" applyFill="1" applyBorder="1" applyAlignment="1">
      <alignment horizontal="center" vertical="center"/>
    </xf>
    <xf numFmtId="0" fontId="22" fillId="8" borderId="18" xfId="1" applyFont="1" applyFill="1" applyBorder="1" applyAlignment="1">
      <alignment horizontal="center" vertical="center"/>
    </xf>
    <xf numFmtId="0" fontId="22" fillId="8" borderId="19" xfId="1" applyFont="1" applyFill="1" applyBorder="1" applyAlignment="1">
      <alignment horizontal="center" vertical="center"/>
    </xf>
    <xf numFmtId="0" fontId="22" fillId="0" borderId="13" xfId="1" applyFont="1" applyBorder="1" applyAlignment="1">
      <alignment horizontal="center" vertical="center"/>
    </xf>
    <xf numFmtId="0" fontId="22" fillId="0" borderId="27" xfId="1" applyFont="1" applyBorder="1" applyAlignment="1">
      <alignment horizontal="center" vertical="center"/>
    </xf>
    <xf numFmtId="0" fontId="22" fillId="0" borderId="18" xfId="1" applyFont="1" applyBorder="1" applyAlignment="1">
      <alignment horizontal="center" vertical="center"/>
    </xf>
    <xf numFmtId="0" fontId="22" fillId="0" borderId="33" xfId="1" applyFont="1" applyBorder="1" applyAlignment="1">
      <alignment horizontal="center" vertical="center"/>
    </xf>
    <xf numFmtId="49" fontId="22" fillId="0" borderId="28" xfId="1" applyNumberFormat="1" applyFont="1" applyBorder="1" applyAlignment="1">
      <alignment horizontal="center" vertical="center" wrapText="1"/>
    </xf>
    <xf numFmtId="49" fontId="22" fillId="0" borderId="34" xfId="1" applyNumberFormat="1" applyFont="1" applyBorder="1" applyAlignment="1">
      <alignment horizontal="center" vertical="center" wrapText="1"/>
    </xf>
    <xf numFmtId="49" fontId="22" fillId="0" borderId="29" xfId="1" applyNumberFormat="1" applyFont="1" applyBorder="1" applyAlignment="1">
      <alignment horizontal="center" vertical="center" wrapText="1"/>
    </xf>
    <xf numFmtId="49" fontId="22" fillId="0" borderId="35" xfId="1" applyNumberFormat="1" applyFont="1" applyBorder="1" applyAlignment="1">
      <alignment horizontal="center" vertical="center" wrapText="1"/>
    </xf>
    <xf numFmtId="0" fontId="22" fillId="0" borderId="32" xfId="1" applyFont="1" applyBorder="1" applyAlignment="1">
      <alignment horizontal="center" vertical="center"/>
    </xf>
    <xf numFmtId="0" fontId="22" fillId="0" borderId="19" xfId="1" applyFont="1" applyBorder="1" applyAlignment="1">
      <alignment horizontal="center" vertical="center"/>
    </xf>
    <xf numFmtId="0" fontId="22" fillId="0" borderId="39" xfId="1" applyFont="1" applyBorder="1" applyAlignment="1">
      <alignment horizontal="left" vertical="top" wrapText="1"/>
    </xf>
    <xf numFmtId="0" fontId="22" fillId="0" borderId="12" xfId="1" applyFont="1" applyBorder="1" applyAlignment="1">
      <alignment horizontal="center" vertical="center" wrapText="1"/>
    </xf>
    <xf numFmtId="0" fontId="22" fillId="0" borderId="17" xfId="1" applyFont="1" applyBorder="1" applyAlignment="1">
      <alignment vertical="center"/>
    </xf>
    <xf numFmtId="0" fontId="22" fillId="0" borderId="23" xfId="1" applyFont="1" applyBorder="1" applyAlignment="1">
      <alignment horizontal="center"/>
    </xf>
    <xf numFmtId="0" fontId="22" fillId="0" borderId="30" xfId="1" applyFont="1" applyBorder="1" applyAlignment="1">
      <alignment horizontal="center"/>
    </xf>
    <xf numFmtId="0" fontId="31" fillId="7" borderId="12" xfId="1" applyFont="1" applyFill="1" applyBorder="1" applyAlignment="1">
      <alignment horizontal="center" vertical="center" wrapText="1"/>
    </xf>
    <xf numFmtId="0" fontId="22" fillId="7" borderId="17" xfId="1" applyFont="1" applyFill="1" applyBorder="1" applyAlignment="1">
      <alignment horizontal="center" vertical="center"/>
    </xf>
    <xf numFmtId="0" fontId="22" fillId="0" borderId="24" xfId="1" applyFont="1" applyBorder="1" applyAlignment="1">
      <alignment horizontal="center" vertical="center"/>
    </xf>
    <xf numFmtId="0" fontId="22" fillId="0" borderId="25" xfId="1" applyFont="1" applyBorder="1" applyAlignment="1">
      <alignment horizontal="center" vertical="center"/>
    </xf>
    <xf numFmtId="0" fontId="22" fillId="8" borderId="23" xfId="1" applyFont="1" applyFill="1" applyBorder="1" applyAlignment="1">
      <alignment horizontal="center" vertical="center" wrapText="1"/>
    </xf>
    <xf numFmtId="0" fontId="22" fillId="8" borderId="30" xfId="1" applyFont="1" applyFill="1" applyBorder="1" applyAlignment="1">
      <alignment horizontal="center" vertical="center"/>
    </xf>
    <xf numFmtId="0" fontId="22" fillId="0" borderId="14" xfId="1" applyFont="1" applyBorder="1" applyAlignment="1">
      <alignment horizontal="center" vertical="center" wrapText="1"/>
    </xf>
    <xf numFmtId="0" fontId="22" fillId="0" borderId="19" xfId="1" applyFont="1" applyBorder="1" applyAlignment="1">
      <alignment horizontal="center" vertical="center" wrapText="1"/>
    </xf>
    <xf numFmtId="0" fontId="22" fillId="0" borderId="0" xfId="1" applyFont="1" applyAlignment="1">
      <alignment horizontal="left" vertical="center" shrinkToFit="1"/>
    </xf>
    <xf numFmtId="0" fontId="27" fillId="0" borderId="22" xfId="1" applyFont="1" applyBorder="1" applyAlignment="1">
      <alignment horizontal="left" wrapText="1"/>
    </xf>
    <xf numFmtId="0" fontId="27" fillId="0" borderId="0" xfId="1" applyFont="1" applyAlignment="1">
      <alignment horizontal="left" wrapText="1"/>
    </xf>
    <xf numFmtId="0" fontId="27" fillId="0" borderId="18" xfId="1" applyFont="1" applyBorder="1" applyAlignment="1">
      <alignment horizontal="left" wrapText="1"/>
    </xf>
    <xf numFmtId="0" fontId="29" fillId="0" borderId="22" xfId="1" applyFont="1" applyBorder="1" applyAlignment="1">
      <alignment horizontal="left" wrapText="1"/>
    </xf>
    <xf numFmtId="0" fontId="29" fillId="0" borderId="0" xfId="1" applyFont="1" applyAlignment="1">
      <alignment horizontal="left" wrapText="1"/>
    </xf>
    <xf numFmtId="0" fontId="29" fillId="0" borderId="18" xfId="1" applyFont="1" applyBorder="1" applyAlignment="1">
      <alignment horizontal="left" wrapText="1"/>
    </xf>
    <xf numFmtId="0" fontId="22" fillId="0" borderId="0" xfId="1" quotePrefix="1" applyFont="1" applyAlignment="1">
      <alignment horizontal="right" vertical="center" wrapText="1"/>
    </xf>
    <xf numFmtId="0" fontId="25" fillId="0" borderId="0" xfId="1" applyFont="1" applyAlignment="1">
      <alignment horizontal="right" vertical="center" wrapText="1"/>
    </xf>
    <xf numFmtId="0" fontId="21" fillId="0" borderId="0" xfId="1" applyFont="1" applyAlignment="1">
      <alignment horizontal="left"/>
    </xf>
    <xf numFmtId="0" fontId="26" fillId="0" borderId="12" xfId="1" applyFont="1" applyBorder="1" applyAlignment="1">
      <alignment horizontal="center" vertical="center" wrapText="1"/>
    </xf>
    <xf numFmtId="0" fontId="26" fillId="0" borderId="13" xfId="1" applyFont="1" applyBorder="1" applyAlignment="1">
      <alignment horizontal="center" vertical="center"/>
    </xf>
    <xf numFmtId="0" fontId="26" fillId="0" borderId="14" xfId="1" applyFont="1" applyBorder="1" applyAlignment="1">
      <alignment horizontal="center" vertical="center"/>
    </xf>
    <xf numFmtId="0" fontId="26" fillId="0" borderId="15" xfId="1" applyFont="1" applyBorder="1" applyAlignment="1">
      <alignment horizontal="center" vertical="center"/>
    </xf>
    <xf numFmtId="0" fontId="26" fillId="0" borderId="0" xfId="1" applyFont="1" applyAlignment="1">
      <alignment horizontal="center" vertical="center"/>
    </xf>
    <xf numFmtId="0" fontId="26" fillId="0" borderId="16" xfId="1" applyFont="1" applyBorder="1" applyAlignment="1">
      <alignment horizontal="center" vertical="center"/>
    </xf>
    <xf numFmtId="0" fontId="26" fillId="0" borderId="17" xfId="1" applyFont="1" applyBorder="1" applyAlignment="1">
      <alignment horizontal="center" vertical="center"/>
    </xf>
    <xf numFmtId="0" fontId="26" fillId="0" borderId="18" xfId="1" applyFont="1" applyBorder="1" applyAlignment="1">
      <alignment horizontal="center" vertical="center"/>
    </xf>
    <xf numFmtId="0" fontId="26" fillId="0" borderId="19" xfId="1" applyFont="1" applyBorder="1" applyAlignment="1">
      <alignment horizontal="center" vertical="center"/>
    </xf>
    <xf numFmtId="0" fontId="25" fillId="0" borderId="0" xfId="1" applyFont="1"/>
    <xf numFmtId="0" fontId="22" fillId="0" borderId="21" xfId="1" applyFont="1" applyBorder="1" applyAlignment="1">
      <alignment horizontal="left" shrinkToFit="1"/>
    </xf>
    <xf numFmtId="0" fontId="6" fillId="0" borderId="0" xfId="0" applyFont="1" applyAlignment="1">
      <alignment horizontal="left" vertical="top" wrapText="1"/>
    </xf>
    <xf numFmtId="0" fontId="10" fillId="0" borderId="7" xfId="0" applyFont="1" applyBorder="1" applyAlignment="1">
      <alignment horizontal="center" vertical="center" wrapText="1"/>
    </xf>
    <xf numFmtId="0" fontId="0" fillId="0" borderId="7" xfId="0" applyBorder="1"/>
    <xf numFmtId="0" fontId="10" fillId="0" borderId="7" xfId="0" applyFont="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9" fillId="0" borderId="7" xfId="0" applyFont="1" applyBorder="1" applyAlignment="1">
      <alignment horizontal="left" vertical="center" wrapText="1"/>
    </xf>
    <xf numFmtId="9" fontId="9" fillId="0" borderId="7" xfId="0" applyNumberFormat="1" applyFont="1" applyBorder="1" applyAlignment="1">
      <alignment horizontal="center" vertical="center" wrapText="1"/>
    </xf>
    <xf numFmtId="0" fontId="13" fillId="0" borderId="7" xfId="0" applyFont="1" applyBorder="1" applyAlignment="1">
      <alignment horizontal="center" vertical="top" wrapText="1"/>
    </xf>
    <xf numFmtId="0" fontId="13" fillId="0" borderId="7" xfId="0" applyFont="1" applyBorder="1" applyAlignment="1">
      <alignment horizontal="center" vertical="center" wrapText="1"/>
    </xf>
    <xf numFmtId="0" fontId="8" fillId="0" borderId="0" xfId="0" applyFont="1" applyAlignment="1">
      <alignment horizontal="center" vertical="center" wrapText="1"/>
    </xf>
    <xf numFmtId="0" fontId="11" fillId="0" borderId="0" xfId="0" applyFont="1" applyAlignment="1">
      <alignment horizontal="right" vertical="center"/>
    </xf>
    <xf numFmtId="0" fontId="14" fillId="0" borderId="0" xfId="0" applyFont="1" applyAlignment="1">
      <alignment horizontal="center" vertical="center" wrapText="1"/>
    </xf>
    <xf numFmtId="0" fontId="15" fillId="0" borderId="0" xfId="0" applyFont="1" applyAlignment="1">
      <alignment horizontal="left" vertical="center" wrapText="1"/>
    </xf>
    <xf numFmtId="0" fontId="4" fillId="0" borderId="0" xfId="0" applyFont="1"/>
    <xf numFmtId="0" fontId="4" fillId="0" borderId="11" xfId="0" applyFont="1" applyBorder="1" applyAlignment="1">
      <alignment horizontal="left" vertical="center" wrapText="1"/>
    </xf>
    <xf numFmtId="0" fontId="15" fillId="6" borderId="11" xfId="0" applyFont="1" applyFill="1" applyBorder="1" applyAlignment="1">
      <alignment horizontal="left" vertical="center" wrapText="1"/>
    </xf>
    <xf numFmtId="2" fontId="4" fillId="0" borderId="11" xfId="0" applyNumberFormat="1" applyFont="1" applyBorder="1" applyAlignment="1">
      <alignment horizontal="center" vertical="center" wrapText="1"/>
    </xf>
    <xf numFmtId="1" fontId="4" fillId="0" borderId="11" xfId="0" applyNumberFormat="1" applyFont="1" applyBorder="1" applyAlignment="1">
      <alignment horizontal="center" vertical="center" wrapText="1"/>
    </xf>
    <xf numFmtId="0" fontId="15" fillId="6" borderId="11" xfId="0" applyFont="1" applyFill="1" applyBorder="1"/>
    <xf numFmtId="0" fontId="4" fillId="0" borderId="11" xfId="0" applyFont="1" applyBorder="1" applyAlignment="1">
      <alignment horizontal="center" vertical="center" wrapText="1"/>
    </xf>
    <xf numFmtId="0" fontId="15" fillId="0" borderId="11" xfId="0" applyFont="1" applyBorder="1"/>
    <xf numFmtId="0" fontId="17" fillId="0" borderId="0" xfId="0" applyFont="1" applyAlignment="1">
      <alignment horizontal="left" vertical="center" wrapText="1"/>
    </xf>
  </cellXfs>
  <cellStyles count="4">
    <cellStyle name="Normal" xfId="0" builtinId="0"/>
    <cellStyle name="標準_01 部品システム監査チェックシート" xfId="2" xr:uid="{99E1ACEE-7D08-4C20-8637-9736B06DC29F}"/>
    <cellStyle name="標準_Book1" xfId="1" xr:uid="{93D512B5-E092-4419-9404-D400C204BFFC}"/>
    <cellStyle name="標準_品質システム監査チェックシート3-10-2rev0 2" xfId="3" xr:uid="{FF9FEDBD-1974-41E4-B866-D9A9E5F0D7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192975</xdr:colOff>
      <xdr:row>67</xdr:row>
      <xdr:rowOff>268431</xdr:rowOff>
    </xdr:from>
    <xdr:to>
      <xdr:col>3</xdr:col>
      <xdr:colOff>5239157</xdr:colOff>
      <xdr:row>72</xdr:row>
      <xdr:rowOff>96116</xdr:rowOff>
    </xdr:to>
    <xdr:pic>
      <xdr:nvPicPr>
        <xdr:cNvPr id="2" name="Picture 1">
          <a:extLst>
            <a:ext uri="{FF2B5EF4-FFF2-40B4-BE49-F238E27FC236}">
              <a16:creationId xmlns:a16="http://schemas.microsoft.com/office/drawing/2014/main" id="{7635B584-79F6-432F-886C-896D942F36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975" y="79173531"/>
          <a:ext cx="7301702" cy="2220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133350</xdr:colOff>
      <xdr:row>0</xdr:row>
      <xdr:rowOff>257175</xdr:rowOff>
    </xdr:from>
    <xdr:to>
      <xdr:col>12</xdr:col>
      <xdr:colOff>314325</xdr:colOff>
      <xdr:row>10</xdr:row>
      <xdr:rowOff>5443</xdr:rowOff>
    </xdr:to>
    <xdr:sp macro="" textlink="">
      <xdr:nvSpPr>
        <xdr:cNvPr id="3" name="AutoShape 6">
          <a:extLst>
            <a:ext uri="{FF2B5EF4-FFF2-40B4-BE49-F238E27FC236}">
              <a16:creationId xmlns:a16="http://schemas.microsoft.com/office/drawing/2014/main" id="{C50664B5-FF2A-48D0-9899-28984D04D9D2}"/>
            </a:ext>
          </a:extLst>
        </xdr:cNvPr>
        <xdr:cNvSpPr>
          <a:spLocks noChangeAspect="1" noChangeArrowheads="1"/>
        </xdr:cNvSpPr>
      </xdr:nvSpPr>
      <xdr:spPr bwMode="auto">
        <a:xfrm>
          <a:off x="21697950" y="249555"/>
          <a:ext cx="6368415" cy="271244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My%20Documents\&#35069;&#36896;&#65302;&#35506;&#29992;\PROGRA~1\TEAMWARE\OFFICE\TEMP\MAIL\MV5\&#29983;&#29987;&#35336;&#30011;&#12471;&#12540;&#1248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pc-sv\gppc\04&#21697;&#36074;\&#30435;&#26619;&#32113;&#21512;\&#26032;PK&#12471;&#12540;&#12488;\&#21152;&#24037;&#12471;&#65293;&#12488;\Documents%20and%20Settings\c079\Application%20Data\Microsoft\Excel\S402-K200E-0%20&#27231;&#26800;&#30058;&#21495;&#31649;&#29702;&#34920;&#65288;&#38598;&#35336;&#65289;%20(version%2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18d4\TEMP2\Documents%20and%20Settings\Administrator\&#12487;&#12473;&#12463;&#12488;&#12483;&#12503;\&#31532;&#65297;&#12539;&#65300;&#21697;&#36074;&#20445;&#35388;&#37096;NC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PROGRA~1\TEAMWARE\OFFICE\TEMP\LIBRARY\VWR4\VWR3\&#29983;&#29987;&#35336;&#30011;&#12471;&#12540;&#12488;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ppc-sv\gppc\04&#21697;&#36074;\&#30435;&#26619;&#32113;&#21512;\&#26032;PK&#12471;&#12540;&#12488;\&#21152;&#24037;&#12471;&#65293;&#12488;\PROGRA~1\TeamWARE\Office\TEMP\LIBRARY\VWR61\VWR66\&#26092;&#38291;&#35336;&#30011;&#65288;&#65296;&#65301;&#12539;&#26412;&#12539;&#37723;&#3689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フォーマット説明"/>
      <sheetName val="計画作成手順"/>
      <sheetName val="時間出来高"/>
      <sheetName val="工事時間"/>
      <sheetName val="稼動計画"/>
      <sheetName val="印刷用"/>
      <sheetName val="計画アイテム"/>
      <sheetName val="フェースライン別計画数"/>
      <sheetName val="ラインアイテム"/>
      <sheetName val="連続流動禁止"/>
      <sheetName val="ライン別アイテム設定"/>
      <sheetName val="ライン（エリア）単位自己評価結果(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機械台帳"/>
      <sheetName val="集計表"/>
      <sheetName val="番号無し"/>
      <sheetName val="改訂記録"/>
      <sheetName val="器具備品"/>
    </sheetNames>
    <sheetDataSet>
      <sheetData sheetId="0" refreshError="1">
        <row r="53">
          <cell r="O53" t="str">
            <v>B</v>
          </cell>
          <cell r="P53" t="str">
            <v>日常</v>
          </cell>
        </row>
        <row r="54">
          <cell r="O54" t="str">
            <v>B</v>
          </cell>
          <cell r="P54" t="str">
            <v>日常</v>
          </cell>
        </row>
        <row r="61">
          <cell r="O61" t="str">
            <v>B</v>
          </cell>
          <cell r="P61" t="str">
            <v>日常</v>
          </cell>
        </row>
        <row r="62">
          <cell r="O62" t="str">
            <v>B</v>
          </cell>
          <cell r="P62" t="str">
            <v>日常</v>
          </cell>
        </row>
        <row r="63">
          <cell r="O63" t="str">
            <v>B</v>
          </cell>
          <cell r="P63" t="str">
            <v>日常</v>
          </cell>
        </row>
        <row r="64">
          <cell r="O64" t="str">
            <v>B</v>
          </cell>
          <cell r="P64" t="str">
            <v>日常</v>
          </cell>
        </row>
        <row r="65">
          <cell r="O65" t="str">
            <v>B</v>
          </cell>
          <cell r="P65" t="str">
            <v>日常</v>
          </cell>
        </row>
        <row r="66">
          <cell r="O66" t="str">
            <v>B</v>
          </cell>
          <cell r="P66" t="str">
            <v>日常</v>
          </cell>
        </row>
        <row r="67">
          <cell r="O67" t="str">
            <v>B</v>
          </cell>
          <cell r="P67" t="str">
            <v>日常</v>
          </cell>
        </row>
        <row r="68">
          <cell r="O68" t="str">
            <v>B</v>
          </cell>
          <cell r="P68" t="str">
            <v>日常</v>
          </cell>
        </row>
        <row r="69">
          <cell r="O69" t="str">
            <v>B</v>
          </cell>
          <cell r="P69" t="str">
            <v>日常</v>
          </cell>
        </row>
        <row r="92">
          <cell r="R92" t="str">
            <v>VLT</v>
          </cell>
        </row>
        <row r="98">
          <cell r="O98" t="str">
            <v>A</v>
          </cell>
          <cell r="P98" t="str">
            <v>定期</v>
          </cell>
        </row>
        <row r="102">
          <cell r="O102" t="str">
            <v>C</v>
          </cell>
          <cell r="P102" t="str">
            <v>日常</v>
          </cell>
        </row>
        <row r="186">
          <cell r="B186">
            <v>9410</v>
          </cell>
          <cell r="O186">
            <v>0</v>
          </cell>
          <cell r="P186">
            <v>0</v>
          </cell>
          <cell r="R186" t="str">
            <v>旋盤</v>
          </cell>
        </row>
        <row r="187">
          <cell r="B187">
            <v>9410</v>
          </cell>
          <cell r="O187">
            <v>0</v>
          </cell>
          <cell r="P187">
            <v>0</v>
          </cell>
          <cell r="R187" t="str">
            <v>高周波加熱装置</v>
          </cell>
        </row>
        <row r="188">
          <cell r="B188">
            <v>9410</v>
          </cell>
          <cell r="O188">
            <v>0</v>
          </cell>
          <cell r="P188">
            <v>0</v>
          </cell>
          <cell r="R188" t="str">
            <v>高周波加熱装置</v>
          </cell>
        </row>
        <row r="189">
          <cell r="B189">
            <v>9410</v>
          </cell>
          <cell r="O189">
            <v>0</v>
          </cell>
          <cell r="P189">
            <v>0</v>
          </cell>
          <cell r="R189" t="str">
            <v>高周波加熱装置</v>
          </cell>
        </row>
        <row r="190">
          <cell r="B190">
            <v>9410</v>
          </cell>
          <cell r="O190">
            <v>0</v>
          </cell>
          <cell r="P190">
            <v>0</v>
          </cell>
          <cell r="R190" t="str">
            <v>高周波加熱装置</v>
          </cell>
        </row>
        <row r="191">
          <cell r="B191">
            <v>9410</v>
          </cell>
          <cell r="O191">
            <v>0</v>
          </cell>
          <cell r="P191">
            <v>0</v>
          </cell>
          <cell r="R191" t="str">
            <v>高周波加熱装置</v>
          </cell>
        </row>
        <row r="193">
          <cell r="B193">
            <v>9410</v>
          </cell>
          <cell r="O193">
            <v>0</v>
          </cell>
          <cell r="P193">
            <v>0</v>
          </cell>
          <cell r="R193" t="str">
            <v>両頭ｸﾞﾗｲﾝﾀﾞｰ</v>
          </cell>
        </row>
        <row r="196">
          <cell r="B196">
            <v>9410</v>
          </cell>
          <cell r="O196">
            <v>0</v>
          </cell>
          <cell r="P196">
            <v>0</v>
          </cell>
          <cell r="R196" t="str">
            <v>分離槽</v>
          </cell>
        </row>
        <row r="197">
          <cell r="B197">
            <v>9410</v>
          </cell>
          <cell r="O197">
            <v>0</v>
          </cell>
          <cell r="P197">
            <v>0</v>
          </cell>
          <cell r="R197" t="str">
            <v>洗浄機</v>
          </cell>
        </row>
        <row r="198">
          <cell r="B198">
            <v>9410</v>
          </cell>
          <cell r="O198">
            <v>0</v>
          </cell>
          <cell r="P198">
            <v>0</v>
          </cell>
          <cell r="R198" t="str">
            <v>集塵機</v>
          </cell>
        </row>
        <row r="199">
          <cell r="B199">
            <v>9410</v>
          </cell>
          <cell r="O199">
            <v>0</v>
          </cell>
          <cell r="P199">
            <v>0</v>
          </cell>
          <cell r="R199" t="str">
            <v>洗浄機</v>
          </cell>
        </row>
        <row r="200">
          <cell r="B200">
            <v>9410</v>
          </cell>
          <cell r="O200" t="str">
            <v>B</v>
          </cell>
          <cell r="P200" t="str">
            <v>日常</v>
          </cell>
          <cell r="R200" t="str">
            <v>ｼｮｯﾄﾌﾞﾗｽﾄ</v>
          </cell>
        </row>
        <row r="201">
          <cell r="B201">
            <v>9410</v>
          </cell>
          <cell r="O201" t="str">
            <v>A</v>
          </cell>
          <cell r="P201" t="str">
            <v>法定</v>
          </cell>
          <cell r="R201" t="str">
            <v>剪断ﾌﾟﾚｽ</v>
          </cell>
        </row>
        <row r="202">
          <cell r="B202">
            <v>9410</v>
          </cell>
          <cell r="O202" t="str">
            <v>B</v>
          </cell>
          <cell r="P202" t="str">
            <v>日常</v>
          </cell>
          <cell r="R202" t="str">
            <v>ｽﾗｸﾞﾀﾝﾌﾞﾗｰ</v>
          </cell>
        </row>
        <row r="203">
          <cell r="B203">
            <v>9410</v>
          </cell>
          <cell r="O203" t="str">
            <v>A</v>
          </cell>
          <cell r="P203" t="str">
            <v>法定</v>
          </cell>
          <cell r="R203" t="str">
            <v>剪断ﾌﾟﾚｽ</v>
          </cell>
        </row>
        <row r="204">
          <cell r="B204">
            <v>9410</v>
          </cell>
          <cell r="O204" t="str">
            <v>A</v>
          </cell>
          <cell r="P204" t="str">
            <v>法定</v>
          </cell>
          <cell r="R204" t="str">
            <v>剪断ﾌﾟﾚｽ</v>
          </cell>
        </row>
        <row r="205">
          <cell r="B205">
            <v>9410</v>
          </cell>
          <cell r="O205" t="str">
            <v>B</v>
          </cell>
          <cell r="P205" t="str">
            <v>日常</v>
          </cell>
          <cell r="R205" t="str">
            <v>ｼｮｯﾄﾌﾞﾗｽﾄ</v>
          </cell>
        </row>
        <row r="206">
          <cell r="B206">
            <v>9410</v>
          </cell>
          <cell r="O206" t="str">
            <v>A</v>
          </cell>
          <cell r="P206" t="str">
            <v>法定</v>
          </cell>
          <cell r="R206" t="str">
            <v>剪断ﾌﾟﾚｽ</v>
          </cell>
        </row>
        <row r="207">
          <cell r="B207">
            <v>9410</v>
          </cell>
          <cell r="O207" t="str">
            <v>B</v>
          </cell>
          <cell r="P207" t="str">
            <v>日常</v>
          </cell>
          <cell r="R207" t="str">
            <v>ｽﾗｸﾞ端面ﾊﾞﾘ取り機</v>
          </cell>
        </row>
        <row r="208">
          <cell r="B208">
            <v>9410</v>
          </cell>
          <cell r="O208" t="str">
            <v>B</v>
          </cell>
          <cell r="P208" t="str">
            <v>日常</v>
          </cell>
          <cell r="R208" t="str">
            <v>ｽﾗｸﾞ端面ﾊﾞﾘ取り機</v>
          </cell>
        </row>
        <row r="209">
          <cell r="B209">
            <v>9410</v>
          </cell>
          <cell r="O209" t="str">
            <v>B</v>
          </cell>
          <cell r="P209" t="str">
            <v>日常</v>
          </cell>
          <cell r="R209" t="str">
            <v>ｽﾗｸﾞ端面ﾊﾞﾘ取り機</v>
          </cell>
        </row>
        <row r="210">
          <cell r="B210">
            <v>9410</v>
          </cell>
          <cell r="O210">
            <v>0</v>
          </cell>
          <cell r="P210">
            <v>0</v>
          </cell>
          <cell r="R210" t="str">
            <v>ﾊﾞｰﾋｰﾀｰ</v>
          </cell>
        </row>
        <row r="211">
          <cell r="B211">
            <v>9410</v>
          </cell>
          <cell r="O211">
            <v>0</v>
          </cell>
          <cell r="P211">
            <v>0</v>
          </cell>
          <cell r="R211" t="str">
            <v>ﾊﾞｰﾋｰﾀｰ</v>
          </cell>
        </row>
        <row r="212">
          <cell r="B212">
            <v>9410</v>
          </cell>
          <cell r="O212">
            <v>0</v>
          </cell>
          <cell r="P212">
            <v>0</v>
          </cell>
          <cell r="R212" t="str">
            <v>ﾊﾞｰﾋｰﾀｰ</v>
          </cell>
        </row>
        <row r="213">
          <cell r="B213">
            <v>9410</v>
          </cell>
          <cell r="O213">
            <v>0</v>
          </cell>
          <cell r="P213">
            <v>0</v>
          </cell>
          <cell r="R213" t="str">
            <v>ﾊﾞｰﾋｰﾀｰ</v>
          </cell>
        </row>
        <row r="214">
          <cell r="B214">
            <v>9410</v>
          </cell>
          <cell r="O214" t="str">
            <v>A</v>
          </cell>
          <cell r="P214" t="str">
            <v>定期</v>
          </cell>
          <cell r="R214" t="str">
            <v>ｽｸﾘｭｰﾌﾟﾚｽ</v>
          </cell>
        </row>
        <row r="215">
          <cell r="B215">
            <v>9410</v>
          </cell>
          <cell r="O215" t="str">
            <v>A</v>
          </cell>
          <cell r="P215" t="str">
            <v>定期</v>
          </cell>
          <cell r="R215" t="str">
            <v>ｽｸﾘｭｰﾌﾟﾚｽ</v>
          </cell>
        </row>
        <row r="216">
          <cell r="B216">
            <v>9410</v>
          </cell>
          <cell r="O216" t="str">
            <v>A</v>
          </cell>
          <cell r="P216" t="str">
            <v>定期</v>
          </cell>
          <cell r="R216" t="str">
            <v>ｽｸﾘｭｰﾌﾟﾚｽ</v>
          </cell>
        </row>
        <row r="217">
          <cell r="B217">
            <v>9410</v>
          </cell>
          <cell r="O217" t="str">
            <v>A</v>
          </cell>
          <cell r="P217" t="str">
            <v>定期</v>
          </cell>
          <cell r="R217" t="str">
            <v>ｽｸﾘｭｰﾌﾟﾚｽ</v>
          </cell>
        </row>
        <row r="218">
          <cell r="B218">
            <v>9410</v>
          </cell>
          <cell r="O218">
            <v>0</v>
          </cell>
          <cell r="P218">
            <v>0</v>
          </cell>
          <cell r="R218" t="str">
            <v>油圧ﾌﾟﾚｽ</v>
          </cell>
        </row>
        <row r="219">
          <cell r="B219">
            <v>9410</v>
          </cell>
          <cell r="O219" t="str">
            <v>A</v>
          </cell>
          <cell r="P219" t="str">
            <v>定期</v>
          </cell>
          <cell r="R219" t="str">
            <v>ﾊﾞﾘ抜きﾌﾟﾚｽ</v>
          </cell>
        </row>
        <row r="220">
          <cell r="B220">
            <v>9410</v>
          </cell>
          <cell r="O220" t="str">
            <v>A</v>
          </cell>
          <cell r="P220" t="str">
            <v>定期</v>
          </cell>
          <cell r="R220" t="str">
            <v>ﾊﾞﾘ抜きﾌﾟﾚｽ</v>
          </cell>
        </row>
        <row r="221">
          <cell r="B221">
            <v>9410</v>
          </cell>
          <cell r="O221" t="str">
            <v>A</v>
          </cell>
          <cell r="P221" t="str">
            <v>定期</v>
          </cell>
          <cell r="R221" t="str">
            <v>ﾊﾞﾘ抜きﾌﾟﾚｽ</v>
          </cell>
        </row>
        <row r="222">
          <cell r="B222">
            <v>9410</v>
          </cell>
          <cell r="O222" t="str">
            <v>A</v>
          </cell>
          <cell r="P222" t="str">
            <v>定期</v>
          </cell>
          <cell r="R222" t="str">
            <v>ﾊﾞﾘ抜きﾌﾟﾚｽ</v>
          </cell>
        </row>
        <row r="223">
          <cell r="B223">
            <v>9410</v>
          </cell>
          <cell r="O223" t="str">
            <v>A</v>
          </cell>
          <cell r="P223" t="str">
            <v>定期</v>
          </cell>
          <cell r="R223" t="str">
            <v>ﾊﾞﾘ抜きﾌﾟﾚｽ</v>
          </cell>
        </row>
        <row r="224">
          <cell r="B224">
            <v>9410</v>
          </cell>
          <cell r="O224" t="str">
            <v>A</v>
          </cell>
          <cell r="P224" t="str">
            <v>定期</v>
          </cell>
          <cell r="R224" t="str">
            <v>ｽｸﾘｭｰﾌﾟﾚｽ</v>
          </cell>
        </row>
        <row r="225">
          <cell r="B225">
            <v>9410</v>
          </cell>
          <cell r="O225" t="str">
            <v>A</v>
          </cell>
          <cell r="P225" t="str">
            <v>定期</v>
          </cell>
          <cell r="R225" t="str">
            <v>ｽｸﾘｭｰﾌﾟﾚｽ</v>
          </cell>
        </row>
        <row r="226">
          <cell r="B226">
            <v>9410</v>
          </cell>
          <cell r="O226" t="str">
            <v>A</v>
          </cell>
          <cell r="P226" t="str">
            <v>定期</v>
          </cell>
          <cell r="R226" t="str">
            <v>ﾊﾞﾘ抜きﾌﾟﾚｽ</v>
          </cell>
        </row>
        <row r="227">
          <cell r="B227">
            <v>9410</v>
          </cell>
          <cell r="O227">
            <v>0</v>
          </cell>
          <cell r="P227">
            <v>0</v>
          </cell>
          <cell r="R227" t="str">
            <v>ｽﾗｸﾞﾋｰﾀｰ</v>
          </cell>
        </row>
        <row r="228">
          <cell r="B228">
            <v>9410</v>
          </cell>
          <cell r="O228">
            <v>0</v>
          </cell>
          <cell r="P228">
            <v>0</v>
          </cell>
          <cell r="R228" t="str">
            <v>ｽﾗｸﾞﾋｰﾀｰ</v>
          </cell>
        </row>
        <row r="229">
          <cell r="B229">
            <v>9410</v>
          </cell>
          <cell r="O229">
            <v>0</v>
          </cell>
          <cell r="P229">
            <v>0</v>
          </cell>
          <cell r="R229" t="str">
            <v>ｽﾗｸﾞﾋｰﾀｰ</v>
          </cell>
        </row>
        <row r="230">
          <cell r="B230">
            <v>9410</v>
          </cell>
          <cell r="O230">
            <v>0</v>
          </cell>
          <cell r="P230">
            <v>0</v>
          </cell>
          <cell r="R230" t="str">
            <v>ｽﾗｸﾞﾋｰﾀｰ</v>
          </cell>
        </row>
        <row r="231">
          <cell r="B231">
            <v>9410</v>
          </cell>
          <cell r="O231">
            <v>0</v>
          </cell>
          <cell r="P231">
            <v>0</v>
          </cell>
          <cell r="R231" t="str">
            <v>ｽﾗｸﾞﾋｰﾀｰ</v>
          </cell>
        </row>
        <row r="232">
          <cell r="B232">
            <v>9410</v>
          </cell>
          <cell r="O232">
            <v>0</v>
          </cell>
          <cell r="P232">
            <v>0</v>
          </cell>
          <cell r="R232" t="str">
            <v>ｽﾗｸﾞﾋｰﾀｰ</v>
          </cell>
        </row>
        <row r="233">
          <cell r="B233">
            <v>9410</v>
          </cell>
          <cell r="O233">
            <v>0</v>
          </cell>
          <cell r="P233">
            <v>0</v>
          </cell>
          <cell r="R233" t="str">
            <v>定量ｺﾝﾍﾞｱｰ</v>
          </cell>
        </row>
        <row r="234">
          <cell r="B234">
            <v>9410</v>
          </cell>
          <cell r="O234">
            <v>0</v>
          </cell>
          <cell r="P234">
            <v>0</v>
          </cell>
          <cell r="R234" t="str">
            <v>定量ｺﾝﾍﾞｱｰ</v>
          </cell>
        </row>
        <row r="235">
          <cell r="B235">
            <v>9410</v>
          </cell>
          <cell r="O235">
            <v>0</v>
          </cell>
          <cell r="P235">
            <v>0</v>
          </cell>
          <cell r="R235" t="str">
            <v>定量ｺﾝﾍﾞｱｰ</v>
          </cell>
        </row>
        <row r="236">
          <cell r="B236">
            <v>9410</v>
          </cell>
          <cell r="O236">
            <v>0</v>
          </cell>
          <cell r="P236">
            <v>0</v>
          </cell>
          <cell r="R236" t="str">
            <v>定量ｺﾝﾍﾞｱｰ</v>
          </cell>
        </row>
        <row r="237">
          <cell r="B237">
            <v>9410</v>
          </cell>
          <cell r="O237">
            <v>0</v>
          </cell>
          <cell r="P237">
            <v>0</v>
          </cell>
          <cell r="R237" t="str">
            <v>定量ｺﾝﾍﾞｱｰ</v>
          </cell>
        </row>
        <row r="238">
          <cell r="B238">
            <v>9410</v>
          </cell>
          <cell r="O238">
            <v>0</v>
          </cell>
          <cell r="P238">
            <v>0</v>
          </cell>
          <cell r="R238" t="str">
            <v>定量ｺﾝﾍﾞｱｰ</v>
          </cell>
        </row>
        <row r="239">
          <cell r="B239">
            <v>9410</v>
          </cell>
          <cell r="O239" t="str">
            <v>A</v>
          </cell>
          <cell r="P239" t="str">
            <v>定期</v>
          </cell>
          <cell r="R239" t="str">
            <v>連続焼戻炉</v>
          </cell>
        </row>
        <row r="240">
          <cell r="B240">
            <v>9410</v>
          </cell>
          <cell r="O240" t="str">
            <v>A</v>
          </cell>
          <cell r="P240" t="str">
            <v>定期</v>
          </cell>
          <cell r="R240" t="str">
            <v>連続焼戻炉</v>
          </cell>
        </row>
        <row r="241">
          <cell r="B241">
            <v>9410</v>
          </cell>
          <cell r="O241" t="str">
            <v>A</v>
          </cell>
          <cell r="P241" t="str">
            <v>定期</v>
          </cell>
          <cell r="R241" t="str">
            <v>連続焼戻炉</v>
          </cell>
        </row>
        <row r="242">
          <cell r="B242">
            <v>9410</v>
          </cell>
          <cell r="O242" t="str">
            <v>B</v>
          </cell>
          <cell r="P242" t="str">
            <v>日常</v>
          </cell>
          <cell r="R242" t="str">
            <v>矯正機</v>
          </cell>
        </row>
        <row r="243">
          <cell r="B243">
            <v>9410</v>
          </cell>
          <cell r="O243" t="str">
            <v>B</v>
          </cell>
          <cell r="P243" t="str">
            <v>日常</v>
          </cell>
          <cell r="R243" t="str">
            <v>矯正機</v>
          </cell>
        </row>
        <row r="244">
          <cell r="B244">
            <v>9410</v>
          </cell>
          <cell r="O244" t="str">
            <v>B</v>
          </cell>
          <cell r="P244" t="str">
            <v>日常</v>
          </cell>
          <cell r="R244" t="str">
            <v>矯正機</v>
          </cell>
        </row>
        <row r="245">
          <cell r="B245">
            <v>9410</v>
          </cell>
          <cell r="O245" t="str">
            <v>B</v>
          </cell>
          <cell r="P245" t="str">
            <v>日常</v>
          </cell>
          <cell r="R245" t="str">
            <v>矯正機</v>
          </cell>
        </row>
        <row r="246">
          <cell r="B246">
            <v>9410</v>
          </cell>
          <cell r="O246" t="str">
            <v>B</v>
          </cell>
          <cell r="P246" t="str">
            <v>日常</v>
          </cell>
          <cell r="R246" t="str">
            <v>矯正機</v>
          </cell>
        </row>
        <row r="247">
          <cell r="B247">
            <v>9410</v>
          </cell>
          <cell r="O247" t="str">
            <v>B</v>
          </cell>
          <cell r="P247" t="str">
            <v>日常</v>
          </cell>
          <cell r="R247" t="str">
            <v>矯正機</v>
          </cell>
        </row>
        <row r="248">
          <cell r="B248">
            <v>9410</v>
          </cell>
          <cell r="O248">
            <v>0</v>
          </cell>
          <cell r="P248">
            <v>0</v>
          </cell>
          <cell r="R248" t="str">
            <v>定量ｺﾝﾍﾞｱｰ</v>
          </cell>
        </row>
        <row r="249">
          <cell r="B249">
            <v>9410</v>
          </cell>
          <cell r="O249">
            <v>0</v>
          </cell>
          <cell r="P249">
            <v>0</v>
          </cell>
          <cell r="R249" t="str">
            <v>定量ｺﾝﾍﾞｱｰ</v>
          </cell>
        </row>
        <row r="250">
          <cell r="B250">
            <v>9410</v>
          </cell>
          <cell r="O250">
            <v>0</v>
          </cell>
          <cell r="P250">
            <v>0</v>
          </cell>
          <cell r="R250" t="str">
            <v>定量ｺﾝﾍﾞｱｰ</v>
          </cell>
        </row>
        <row r="251">
          <cell r="B251">
            <v>9410</v>
          </cell>
          <cell r="O251">
            <v>0</v>
          </cell>
          <cell r="P251">
            <v>0</v>
          </cell>
          <cell r="R251" t="str">
            <v>定量ｺﾝﾍﾞｱｰ</v>
          </cell>
        </row>
        <row r="252">
          <cell r="B252">
            <v>9410</v>
          </cell>
          <cell r="O252">
            <v>0</v>
          </cell>
          <cell r="P252">
            <v>0</v>
          </cell>
          <cell r="R252" t="str">
            <v>定量ｺﾝﾍﾞｱｰ</v>
          </cell>
        </row>
        <row r="253">
          <cell r="B253">
            <v>9410</v>
          </cell>
          <cell r="O253">
            <v>0</v>
          </cell>
          <cell r="P253">
            <v>0</v>
          </cell>
          <cell r="R253" t="str">
            <v>定量ｺﾝﾍﾞｱｰ</v>
          </cell>
        </row>
        <row r="254">
          <cell r="B254">
            <v>9410</v>
          </cell>
          <cell r="O254" t="str">
            <v>B</v>
          </cell>
          <cell r="P254" t="str">
            <v>日常</v>
          </cell>
          <cell r="R254" t="str">
            <v>傘振選別機</v>
          </cell>
        </row>
        <row r="255">
          <cell r="B255">
            <v>9410</v>
          </cell>
          <cell r="O255" t="str">
            <v>B</v>
          </cell>
          <cell r="P255" t="str">
            <v>日常</v>
          </cell>
          <cell r="R255" t="str">
            <v>傘振選別機</v>
          </cell>
        </row>
        <row r="256">
          <cell r="B256">
            <v>9410</v>
          </cell>
          <cell r="O256" t="str">
            <v>B</v>
          </cell>
          <cell r="P256" t="str">
            <v>日常</v>
          </cell>
          <cell r="R256" t="str">
            <v>傘振選別機</v>
          </cell>
        </row>
        <row r="257">
          <cell r="B257">
            <v>9410</v>
          </cell>
          <cell r="O257" t="str">
            <v>B</v>
          </cell>
          <cell r="P257" t="str">
            <v>日常</v>
          </cell>
          <cell r="R257" t="str">
            <v>傘振選別機</v>
          </cell>
        </row>
        <row r="258">
          <cell r="B258">
            <v>9410</v>
          </cell>
          <cell r="O258" t="str">
            <v>B</v>
          </cell>
          <cell r="P258" t="str">
            <v>日常</v>
          </cell>
          <cell r="R258" t="str">
            <v>傘振選別機</v>
          </cell>
        </row>
        <row r="259">
          <cell r="B259">
            <v>9410</v>
          </cell>
          <cell r="O259" t="str">
            <v>B</v>
          </cell>
          <cell r="P259" t="str">
            <v>日常</v>
          </cell>
          <cell r="R259" t="str">
            <v>傘振選別機</v>
          </cell>
        </row>
        <row r="260">
          <cell r="B260">
            <v>9420</v>
          </cell>
          <cell r="O260">
            <v>0</v>
          </cell>
          <cell r="P260">
            <v>0</v>
          </cell>
          <cell r="R260" t="str">
            <v>金型自動ﾗｯｸ</v>
          </cell>
        </row>
        <row r="261">
          <cell r="B261">
            <v>9420</v>
          </cell>
          <cell r="O261">
            <v>0</v>
          </cell>
          <cell r="P261">
            <v>0</v>
          </cell>
          <cell r="R261" t="str">
            <v>高周波加熱装置</v>
          </cell>
        </row>
        <row r="262">
          <cell r="B262">
            <v>9420</v>
          </cell>
          <cell r="O262">
            <v>0</v>
          </cell>
          <cell r="P262">
            <v>0</v>
          </cell>
          <cell r="R262" t="str">
            <v>洗浄機</v>
          </cell>
        </row>
        <row r="263">
          <cell r="B263">
            <v>9420</v>
          </cell>
          <cell r="O263" t="str">
            <v>B</v>
          </cell>
          <cell r="P263" t="str">
            <v>日常</v>
          </cell>
          <cell r="R263" t="str">
            <v>ｽﾗｸﾞﾀﾝﾌﾞﾗｰ</v>
          </cell>
        </row>
        <row r="264">
          <cell r="B264">
            <v>9420</v>
          </cell>
          <cell r="O264" t="str">
            <v>B</v>
          </cell>
          <cell r="P264" t="str">
            <v>日常</v>
          </cell>
          <cell r="R264" t="str">
            <v>ｽﾗｸﾞﾀﾝﾌﾞﾗｰ</v>
          </cell>
        </row>
        <row r="265">
          <cell r="B265">
            <v>9420</v>
          </cell>
          <cell r="O265" t="str">
            <v>B</v>
          </cell>
          <cell r="P265" t="str">
            <v>日常</v>
          </cell>
          <cell r="R265" t="str">
            <v>ｽﾗｸﾞﾀﾝﾌﾞﾗｰ</v>
          </cell>
        </row>
        <row r="266">
          <cell r="B266">
            <v>9420</v>
          </cell>
          <cell r="O266" t="str">
            <v>B</v>
          </cell>
          <cell r="P266" t="str">
            <v>日常</v>
          </cell>
          <cell r="R266" t="str">
            <v>ｽﾗｸﾞﾀﾝﾌﾞﾗｰ</v>
          </cell>
        </row>
        <row r="267">
          <cell r="B267">
            <v>9420</v>
          </cell>
          <cell r="O267" t="str">
            <v>A</v>
          </cell>
          <cell r="P267" t="str">
            <v>定期</v>
          </cell>
          <cell r="R267" t="str">
            <v>ｽｸﾘｭｰﾌﾟﾚｽ</v>
          </cell>
        </row>
        <row r="268">
          <cell r="B268">
            <v>9420</v>
          </cell>
          <cell r="O268" t="str">
            <v>A</v>
          </cell>
          <cell r="P268" t="str">
            <v>定期</v>
          </cell>
          <cell r="R268" t="str">
            <v>ｽｸﾘｭｰﾌﾟﾚｽ</v>
          </cell>
        </row>
        <row r="269">
          <cell r="B269">
            <v>9420</v>
          </cell>
          <cell r="O269" t="str">
            <v>A</v>
          </cell>
          <cell r="P269" t="str">
            <v>定期</v>
          </cell>
          <cell r="R269" t="str">
            <v>ﾊﾞﾘ抜きﾌﾟﾚｽ</v>
          </cell>
        </row>
        <row r="270">
          <cell r="B270">
            <v>9420</v>
          </cell>
          <cell r="O270" t="str">
            <v>A</v>
          </cell>
          <cell r="P270" t="str">
            <v>定期</v>
          </cell>
          <cell r="R270" t="str">
            <v>ﾊﾞﾘ抜きﾌﾟﾚｽ</v>
          </cell>
        </row>
        <row r="271">
          <cell r="B271">
            <v>9420</v>
          </cell>
          <cell r="O271" t="str">
            <v>A</v>
          </cell>
          <cell r="P271" t="str">
            <v>定期</v>
          </cell>
          <cell r="R271" t="str">
            <v>ﾊﾞﾘ抜きﾌﾟﾚｽ</v>
          </cell>
        </row>
        <row r="272">
          <cell r="B272">
            <v>9420</v>
          </cell>
          <cell r="O272" t="str">
            <v>A</v>
          </cell>
          <cell r="P272" t="str">
            <v>定期</v>
          </cell>
          <cell r="R272" t="str">
            <v>ｽｸﾘｭｰﾌﾟﾚｽ</v>
          </cell>
        </row>
        <row r="273">
          <cell r="B273">
            <v>9420</v>
          </cell>
          <cell r="O273">
            <v>0</v>
          </cell>
          <cell r="P273">
            <v>0</v>
          </cell>
          <cell r="R273" t="str">
            <v>ｽﾗｸﾞﾋｰﾀｰ</v>
          </cell>
        </row>
        <row r="274">
          <cell r="B274">
            <v>9420</v>
          </cell>
          <cell r="O274">
            <v>0</v>
          </cell>
          <cell r="P274">
            <v>0</v>
          </cell>
          <cell r="R274" t="str">
            <v>ｽﾗｸﾞﾋｰﾀｰ</v>
          </cell>
        </row>
        <row r="275">
          <cell r="B275">
            <v>9420</v>
          </cell>
          <cell r="O275">
            <v>0</v>
          </cell>
          <cell r="P275">
            <v>0</v>
          </cell>
          <cell r="R275" t="str">
            <v>ｽﾗｸﾞﾋｰﾀｰ</v>
          </cell>
        </row>
        <row r="276">
          <cell r="B276">
            <v>9420</v>
          </cell>
          <cell r="O276">
            <v>0</v>
          </cell>
          <cell r="P276">
            <v>0</v>
          </cell>
          <cell r="R276" t="str">
            <v>定量ｺﾝﾍﾞｱｰ</v>
          </cell>
        </row>
        <row r="277">
          <cell r="B277">
            <v>9420</v>
          </cell>
          <cell r="O277">
            <v>0</v>
          </cell>
          <cell r="P277">
            <v>0</v>
          </cell>
          <cell r="R277" t="str">
            <v>定量ｺﾝﾍﾞｱｰ</v>
          </cell>
        </row>
        <row r="278">
          <cell r="B278">
            <v>9420</v>
          </cell>
          <cell r="O278">
            <v>0</v>
          </cell>
          <cell r="P278">
            <v>0</v>
          </cell>
          <cell r="R278" t="str">
            <v>定量ｺﾝﾍﾞｱｰ</v>
          </cell>
        </row>
        <row r="279">
          <cell r="B279">
            <v>9420</v>
          </cell>
          <cell r="O279" t="str">
            <v>A</v>
          </cell>
          <cell r="P279" t="str">
            <v>定期</v>
          </cell>
          <cell r="R279" t="str">
            <v>連続焼戻炉</v>
          </cell>
        </row>
        <row r="280">
          <cell r="B280">
            <v>9420</v>
          </cell>
          <cell r="O280" t="str">
            <v>A</v>
          </cell>
          <cell r="P280" t="str">
            <v>定期</v>
          </cell>
          <cell r="R280" t="str">
            <v>連続焼戻炉</v>
          </cell>
        </row>
        <row r="281">
          <cell r="B281">
            <v>9420</v>
          </cell>
          <cell r="O281" t="str">
            <v>A</v>
          </cell>
          <cell r="P281" t="str">
            <v>定期</v>
          </cell>
          <cell r="R281" t="str">
            <v>連続焼戻炉</v>
          </cell>
        </row>
        <row r="282">
          <cell r="B282">
            <v>9420</v>
          </cell>
          <cell r="O282" t="str">
            <v>B</v>
          </cell>
          <cell r="P282" t="str">
            <v>日常</v>
          </cell>
          <cell r="R282" t="str">
            <v>矯正機</v>
          </cell>
        </row>
        <row r="283">
          <cell r="B283">
            <v>9420</v>
          </cell>
          <cell r="O283" t="str">
            <v>B</v>
          </cell>
          <cell r="P283" t="str">
            <v>日常</v>
          </cell>
          <cell r="R283" t="str">
            <v>矯正機</v>
          </cell>
        </row>
        <row r="284">
          <cell r="B284">
            <v>9420</v>
          </cell>
          <cell r="O284" t="str">
            <v>B</v>
          </cell>
          <cell r="P284" t="str">
            <v>日常</v>
          </cell>
          <cell r="R284" t="str">
            <v>矯正機</v>
          </cell>
        </row>
        <row r="285">
          <cell r="B285">
            <v>9420</v>
          </cell>
          <cell r="O285">
            <v>0</v>
          </cell>
          <cell r="P285">
            <v>0</v>
          </cell>
          <cell r="R285" t="str">
            <v>定量ｺﾝﾍﾞｱｰ</v>
          </cell>
        </row>
        <row r="286">
          <cell r="B286">
            <v>9420</v>
          </cell>
          <cell r="O286">
            <v>0</v>
          </cell>
          <cell r="P286">
            <v>0</v>
          </cell>
          <cell r="R286" t="str">
            <v>定量ｺﾝﾍﾞｱｰ</v>
          </cell>
        </row>
        <row r="287">
          <cell r="B287">
            <v>9420</v>
          </cell>
          <cell r="O287" t="str">
            <v>B</v>
          </cell>
          <cell r="P287" t="str">
            <v>日常</v>
          </cell>
          <cell r="R287" t="str">
            <v>傘振選別機</v>
          </cell>
        </row>
        <row r="288">
          <cell r="B288">
            <v>9420</v>
          </cell>
          <cell r="O288" t="str">
            <v>B</v>
          </cell>
          <cell r="P288" t="str">
            <v>日常</v>
          </cell>
          <cell r="R288" t="str">
            <v>傘振選別機</v>
          </cell>
        </row>
        <row r="289">
          <cell r="B289">
            <v>9420</v>
          </cell>
          <cell r="O289" t="str">
            <v>B</v>
          </cell>
          <cell r="P289" t="str">
            <v>日常</v>
          </cell>
          <cell r="R289" t="str">
            <v>傘振選別機</v>
          </cell>
        </row>
        <row r="290">
          <cell r="B290">
            <v>9430</v>
          </cell>
          <cell r="O290">
            <v>0</v>
          </cell>
          <cell r="P290">
            <v>0</v>
          </cell>
          <cell r="R290" t="str">
            <v>旋盤</v>
          </cell>
        </row>
        <row r="291">
          <cell r="B291">
            <v>9430</v>
          </cell>
          <cell r="O291" t="str">
            <v>A</v>
          </cell>
          <cell r="P291" t="str">
            <v>定期</v>
          </cell>
          <cell r="R291" t="str">
            <v>VHG</v>
          </cell>
        </row>
        <row r="292">
          <cell r="B292">
            <v>9430</v>
          </cell>
          <cell r="O292" t="str">
            <v>C</v>
          </cell>
          <cell r="P292" t="str">
            <v>日常</v>
          </cell>
          <cell r="R292" t="str">
            <v>自動ふるい機</v>
          </cell>
        </row>
        <row r="293">
          <cell r="B293">
            <v>9430</v>
          </cell>
          <cell r="O293" t="str">
            <v>A</v>
          </cell>
          <cell r="P293" t="str">
            <v>定期</v>
          </cell>
          <cell r="R293" t="str">
            <v>ﾏｲｸﾛｾﾊﾟﾚｰﾀｰ</v>
          </cell>
        </row>
        <row r="294">
          <cell r="B294">
            <v>9430</v>
          </cell>
          <cell r="O294">
            <v>0</v>
          </cell>
          <cell r="P294">
            <v>0</v>
          </cell>
          <cell r="R294" t="str">
            <v>集塵機</v>
          </cell>
        </row>
        <row r="295">
          <cell r="B295">
            <v>9430</v>
          </cell>
          <cell r="O295">
            <v>0</v>
          </cell>
          <cell r="P295">
            <v>0</v>
          </cell>
          <cell r="R295" t="str">
            <v>集塵機</v>
          </cell>
        </row>
        <row r="296">
          <cell r="B296">
            <v>9430</v>
          </cell>
          <cell r="O296" t="str">
            <v>B</v>
          </cell>
          <cell r="P296" t="str">
            <v>日常</v>
          </cell>
          <cell r="R296" t="str">
            <v>ｻﾝﾄﾞﾌﾞﾗｽﾄ</v>
          </cell>
        </row>
        <row r="297">
          <cell r="B297">
            <v>9430</v>
          </cell>
          <cell r="O297" t="str">
            <v>A</v>
          </cell>
          <cell r="P297" t="str">
            <v>定期</v>
          </cell>
          <cell r="R297" t="str">
            <v>VHG</v>
          </cell>
        </row>
        <row r="298">
          <cell r="B298">
            <v>9430</v>
          </cell>
          <cell r="O298" t="str">
            <v>A</v>
          </cell>
          <cell r="P298" t="str">
            <v>定期</v>
          </cell>
          <cell r="R298" t="str">
            <v>VHG</v>
          </cell>
        </row>
        <row r="299">
          <cell r="B299">
            <v>9430</v>
          </cell>
          <cell r="O299" t="str">
            <v>A</v>
          </cell>
          <cell r="P299" t="str">
            <v>定期</v>
          </cell>
          <cell r="R299" t="str">
            <v>MUG</v>
          </cell>
        </row>
        <row r="300">
          <cell r="B300">
            <v>9430</v>
          </cell>
          <cell r="O300" t="str">
            <v>A</v>
          </cell>
          <cell r="P300" t="str">
            <v>定期</v>
          </cell>
          <cell r="R300" t="str">
            <v>PPW</v>
          </cell>
        </row>
        <row r="301">
          <cell r="B301">
            <v>9430</v>
          </cell>
          <cell r="O301" t="str">
            <v>A</v>
          </cell>
          <cell r="P301" t="str">
            <v>定期</v>
          </cell>
          <cell r="R301" t="str">
            <v>PPW</v>
          </cell>
        </row>
        <row r="302">
          <cell r="B302">
            <v>9430</v>
          </cell>
          <cell r="O302">
            <v>0</v>
          </cell>
          <cell r="P302">
            <v>0</v>
          </cell>
          <cell r="R302" t="str">
            <v>網かごｽﾄｯｶｰ</v>
          </cell>
        </row>
        <row r="303">
          <cell r="B303">
            <v>9430</v>
          </cell>
          <cell r="O303" t="str">
            <v>B</v>
          </cell>
          <cell r="P303" t="str">
            <v>日常</v>
          </cell>
          <cell r="R303" t="str">
            <v>ｻﾝﾄﾞﾌﾞﾗｽﾄ</v>
          </cell>
        </row>
        <row r="304">
          <cell r="B304">
            <v>9430</v>
          </cell>
          <cell r="O304" t="str">
            <v>A</v>
          </cell>
          <cell r="P304" t="str">
            <v>定期</v>
          </cell>
          <cell r="R304" t="str">
            <v>VHG</v>
          </cell>
        </row>
        <row r="305">
          <cell r="B305">
            <v>9430</v>
          </cell>
          <cell r="O305" t="str">
            <v>A</v>
          </cell>
          <cell r="P305" t="str">
            <v>定期</v>
          </cell>
          <cell r="R305" t="str">
            <v>VHG</v>
          </cell>
        </row>
        <row r="306">
          <cell r="B306">
            <v>9430</v>
          </cell>
          <cell r="O306" t="str">
            <v>A</v>
          </cell>
          <cell r="P306" t="str">
            <v>定期</v>
          </cell>
          <cell r="R306" t="str">
            <v>MUG</v>
          </cell>
        </row>
        <row r="307">
          <cell r="B307">
            <v>9430</v>
          </cell>
          <cell r="O307" t="str">
            <v>A</v>
          </cell>
          <cell r="P307" t="str">
            <v>定期</v>
          </cell>
          <cell r="R307" t="str">
            <v>PPW</v>
          </cell>
        </row>
        <row r="308">
          <cell r="B308">
            <v>9430</v>
          </cell>
          <cell r="O308" t="str">
            <v>A</v>
          </cell>
          <cell r="P308" t="str">
            <v>定期</v>
          </cell>
          <cell r="R308" t="str">
            <v>PPW</v>
          </cell>
        </row>
        <row r="309">
          <cell r="B309">
            <v>9430</v>
          </cell>
          <cell r="O309">
            <v>0</v>
          </cell>
          <cell r="P309">
            <v>0</v>
          </cell>
          <cell r="R309" t="str">
            <v>網かごｽﾄｯｶｰ</v>
          </cell>
        </row>
        <row r="310">
          <cell r="B310">
            <v>9430</v>
          </cell>
          <cell r="O310" t="str">
            <v>B</v>
          </cell>
          <cell r="P310" t="str">
            <v>日常</v>
          </cell>
          <cell r="R310" t="str">
            <v>ｻﾝﾄﾞﾌﾞﾗｽﾄ</v>
          </cell>
        </row>
        <row r="311">
          <cell r="B311">
            <v>9430</v>
          </cell>
          <cell r="O311" t="str">
            <v>A</v>
          </cell>
          <cell r="P311" t="str">
            <v>定期</v>
          </cell>
          <cell r="R311" t="str">
            <v>VHG</v>
          </cell>
        </row>
        <row r="312">
          <cell r="B312">
            <v>9430</v>
          </cell>
          <cell r="O312" t="str">
            <v>A</v>
          </cell>
          <cell r="P312" t="str">
            <v>定期</v>
          </cell>
          <cell r="R312" t="str">
            <v>VHG</v>
          </cell>
        </row>
        <row r="313">
          <cell r="B313">
            <v>9430</v>
          </cell>
          <cell r="O313" t="str">
            <v>A</v>
          </cell>
          <cell r="P313" t="str">
            <v>定期</v>
          </cell>
          <cell r="R313" t="str">
            <v>MUG</v>
          </cell>
        </row>
        <row r="314">
          <cell r="B314">
            <v>9430</v>
          </cell>
          <cell r="O314" t="str">
            <v>A</v>
          </cell>
          <cell r="P314" t="str">
            <v>定期</v>
          </cell>
          <cell r="R314" t="str">
            <v>PPW</v>
          </cell>
        </row>
        <row r="315">
          <cell r="B315">
            <v>9430</v>
          </cell>
          <cell r="O315" t="str">
            <v>A</v>
          </cell>
          <cell r="P315" t="str">
            <v>定期</v>
          </cell>
          <cell r="R315" t="str">
            <v>PPW</v>
          </cell>
        </row>
        <row r="316">
          <cell r="B316">
            <v>9430</v>
          </cell>
          <cell r="O316">
            <v>0</v>
          </cell>
          <cell r="P316">
            <v>0</v>
          </cell>
          <cell r="R316" t="str">
            <v>網かごｽﾄｯｶｰ</v>
          </cell>
        </row>
        <row r="317">
          <cell r="B317">
            <v>9430</v>
          </cell>
          <cell r="O317" t="str">
            <v>B</v>
          </cell>
          <cell r="P317" t="str">
            <v>日常</v>
          </cell>
          <cell r="R317" t="str">
            <v>ｻﾝﾄﾞﾌﾞﾗｽﾄ</v>
          </cell>
        </row>
        <row r="318">
          <cell r="B318">
            <v>9430</v>
          </cell>
          <cell r="O318" t="str">
            <v>A</v>
          </cell>
          <cell r="P318" t="str">
            <v>定期</v>
          </cell>
          <cell r="R318" t="str">
            <v>VHG</v>
          </cell>
        </row>
        <row r="319">
          <cell r="B319">
            <v>9430</v>
          </cell>
          <cell r="O319" t="str">
            <v>A</v>
          </cell>
          <cell r="P319" t="str">
            <v>定期</v>
          </cell>
          <cell r="R319" t="str">
            <v>VHG</v>
          </cell>
        </row>
        <row r="320">
          <cell r="B320">
            <v>9430</v>
          </cell>
          <cell r="O320" t="str">
            <v>A</v>
          </cell>
          <cell r="P320" t="str">
            <v>定期</v>
          </cell>
          <cell r="R320" t="str">
            <v>VHG</v>
          </cell>
        </row>
        <row r="321">
          <cell r="B321">
            <v>9430</v>
          </cell>
          <cell r="O321" t="str">
            <v>A</v>
          </cell>
          <cell r="P321" t="str">
            <v>定期</v>
          </cell>
          <cell r="R321" t="str">
            <v>PPW</v>
          </cell>
        </row>
        <row r="322">
          <cell r="B322">
            <v>9430</v>
          </cell>
          <cell r="O322" t="str">
            <v>A</v>
          </cell>
          <cell r="P322" t="str">
            <v>定期</v>
          </cell>
          <cell r="R322" t="str">
            <v>PPW</v>
          </cell>
        </row>
        <row r="323">
          <cell r="B323">
            <v>9430</v>
          </cell>
          <cell r="O323">
            <v>0</v>
          </cell>
          <cell r="P323">
            <v>0</v>
          </cell>
          <cell r="R323" t="str">
            <v>網かごｽﾄｯｶｰ</v>
          </cell>
        </row>
        <row r="324">
          <cell r="B324">
            <v>9430</v>
          </cell>
          <cell r="O324" t="str">
            <v>B</v>
          </cell>
          <cell r="P324" t="str">
            <v>日常</v>
          </cell>
          <cell r="R324" t="str">
            <v>ｻﾝﾄﾞﾌﾞﾗｽﾄ</v>
          </cell>
        </row>
        <row r="325">
          <cell r="B325">
            <v>9430</v>
          </cell>
          <cell r="O325" t="str">
            <v>A</v>
          </cell>
          <cell r="P325" t="str">
            <v>定期</v>
          </cell>
          <cell r="R325" t="str">
            <v>VHG</v>
          </cell>
        </row>
        <row r="326">
          <cell r="B326">
            <v>9430</v>
          </cell>
          <cell r="O326" t="str">
            <v>A</v>
          </cell>
          <cell r="P326" t="str">
            <v>定期</v>
          </cell>
          <cell r="R326" t="str">
            <v>VHG</v>
          </cell>
        </row>
        <row r="327">
          <cell r="B327">
            <v>9430</v>
          </cell>
          <cell r="O327" t="str">
            <v>A</v>
          </cell>
          <cell r="P327" t="str">
            <v>定期</v>
          </cell>
          <cell r="R327" t="str">
            <v>MUG</v>
          </cell>
        </row>
        <row r="328">
          <cell r="B328">
            <v>9430</v>
          </cell>
          <cell r="O328" t="str">
            <v>A</v>
          </cell>
          <cell r="P328" t="str">
            <v>定期</v>
          </cell>
          <cell r="R328" t="str">
            <v>PPW</v>
          </cell>
        </row>
        <row r="329">
          <cell r="B329">
            <v>9430</v>
          </cell>
          <cell r="O329" t="str">
            <v>A</v>
          </cell>
          <cell r="P329" t="str">
            <v>定期</v>
          </cell>
          <cell r="R329" t="str">
            <v>PPW</v>
          </cell>
        </row>
        <row r="330">
          <cell r="B330">
            <v>9430</v>
          </cell>
          <cell r="O330">
            <v>0</v>
          </cell>
          <cell r="P330">
            <v>0</v>
          </cell>
          <cell r="R330" t="str">
            <v>網かごｽﾄｯｶｰ</v>
          </cell>
        </row>
        <row r="331">
          <cell r="B331">
            <v>9430</v>
          </cell>
          <cell r="O331" t="str">
            <v>B</v>
          </cell>
          <cell r="P331" t="str">
            <v>日常</v>
          </cell>
          <cell r="R331" t="str">
            <v>ｻﾝﾄﾞﾌﾞﾗｽﾄ</v>
          </cell>
        </row>
        <row r="332">
          <cell r="B332">
            <v>9430</v>
          </cell>
          <cell r="O332" t="str">
            <v>A</v>
          </cell>
          <cell r="P332" t="str">
            <v>定期</v>
          </cell>
          <cell r="R332" t="str">
            <v>VHG</v>
          </cell>
        </row>
        <row r="333">
          <cell r="B333">
            <v>9430</v>
          </cell>
          <cell r="O333" t="str">
            <v>A</v>
          </cell>
          <cell r="P333" t="str">
            <v>定期</v>
          </cell>
          <cell r="R333" t="str">
            <v>VHG</v>
          </cell>
        </row>
        <row r="334">
          <cell r="B334">
            <v>9430</v>
          </cell>
          <cell r="O334" t="str">
            <v>A</v>
          </cell>
          <cell r="P334" t="str">
            <v>定期</v>
          </cell>
          <cell r="R334" t="str">
            <v>MUG</v>
          </cell>
        </row>
        <row r="335">
          <cell r="B335">
            <v>9430</v>
          </cell>
          <cell r="O335" t="str">
            <v>A</v>
          </cell>
          <cell r="P335" t="str">
            <v>定期</v>
          </cell>
          <cell r="R335" t="str">
            <v>PPW</v>
          </cell>
        </row>
        <row r="336">
          <cell r="B336">
            <v>9430</v>
          </cell>
          <cell r="O336" t="str">
            <v>A</v>
          </cell>
          <cell r="P336" t="str">
            <v>定期</v>
          </cell>
          <cell r="R336" t="str">
            <v>PPW</v>
          </cell>
        </row>
        <row r="337">
          <cell r="B337">
            <v>9430</v>
          </cell>
          <cell r="O337">
            <v>0</v>
          </cell>
          <cell r="P337">
            <v>0</v>
          </cell>
          <cell r="R337" t="str">
            <v>網かごｽﾄｯｶｰ</v>
          </cell>
        </row>
        <row r="338">
          <cell r="B338">
            <v>9430</v>
          </cell>
          <cell r="O338" t="str">
            <v>B</v>
          </cell>
          <cell r="P338" t="str">
            <v>日常</v>
          </cell>
          <cell r="R338" t="str">
            <v>ｻﾝﾄﾞﾌﾞﾗｽﾄ</v>
          </cell>
        </row>
        <row r="339">
          <cell r="B339">
            <v>9430</v>
          </cell>
          <cell r="O339" t="str">
            <v>A</v>
          </cell>
          <cell r="P339" t="str">
            <v>定期</v>
          </cell>
          <cell r="R339" t="str">
            <v>MUG</v>
          </cell>
        </row>
        <row r="340">
          <cell r="B340">
            <v>9430</v>
          </cell>
          <cell r="O340" t="str">
            <v>A</v>
          </cell>
          <cell r="P340" t="str">
            <v>定期</v>
          </cell>
          <cell r="R340" t="str">
            <v>PPW</v>
          </cell>
        </row>
        <row r="341">
          <cell r="B341">
            <v>9430</v>
          </cell>
          <cell r="O341" t="str">
            <v>A</v>
          </cell>
          <cell r="P341" t="str">
            <v>定期</v>
          </cell>
          <cell r="R341" t="str">
            <v>PPW</v>
          </cell>
        </row>
        <row r="342">
          <cell r="B342">
            <v>9430</v>
          </cell>
          <cell r="O342">
            <v>0</v>
          </cell>
          <cell r="P342">
            <v>0</v>
          </cell>
          <cell r="R342" t="str">
            <v>網かごｽﾄｯｶｰ</v>
          </cell>
        </row>
        <row r="343">
          <cell r="B343">
            <v>9430</v>
          </cell>
          <cell r="O343" t="str">
            <v>B</v>
          </cell>
          <cell r="P343" t="str">
            <v>日常</v>
          </cell>
          <cell r="R343" t="str">
            <v>ｻﾝﾄﾞﾌﾞﾗｽﾄ</v>
          </cell>
        </row>
        <row r="344">
          <cell r="B344">
            <v>9430</v>
          </cell>
          <cell r="O344" t="str">
            <v>A</v>
          </cell>
          <cell r="P344" t="str">
            <v>定期</v>
          </cell>
          <cell r="R344" t="str">
            <v>MUG</v>
          </cell>
        </row>
        <row r="345">
          <cell r="B345">
            <v>9430</v>
          </cell>
          <cell r="O345" t="str">
            <v>A</v>
          </cell>
          <cell r="P345" t="str">
            <v>定期</v>
          </cell>
          <cell r="R345" t="str">
            <v>PPW</v>
          </cell>
        </row>
        <row r="346">
          <cell r="B346">
            <v>9430</v>
          </cell>
          <cell r="O346" t="str">
            <v>A</v>
          </cell>
          <cell r="P346" t="str">
            <v>定期</v>
          </cell>
          <cell r="R346" t="str">
            <v>PPW</v>
          </cell>
        </row>
        <row r="347">
          <cell r="B347">
            <v>9430</v>
          </cell>
          <cell r="O347">
            <v>0</v>
          </cell>
          <cell r="P347">
            <v>0</v>
          </cell>
          <cell r="R347" t="str">
            <v>網かごｽﾄｯｶｰ</v>
          </cell>
        </row>
        <row r="348">
          <cell r="B348">
            <v>9430</v>
          </cell>
          <cell r="O348" t="str">
            <v>B</v>
          </cell>
          <cell r="P348" t="str">
            <v>日常</v>
          </cell>
          <cell r="R348" t="str">
            <v>ｻﾝﾄﾞﾌﾞﾗｽﾄ</v>
          </cell>
        </row>
        <row r="349">
          <cell r="B349">
            <v>9430</v>
          </cell>
          <cell r="O349" t="str">
            <v>A</v>
          </cell>
          <cell r="P349" t="str">
            <v>定期</v>
          </cell>
          <cell r="R349" t="str">
            <v>MUG</v>
          </cell>
        </row>
        <row r="350">
          <cell r="B350">
            <v>9430</v>
          </cell>
          <cell r="O350" t="str">
            <v>A</v>
          </cell>
          <cell r="P350" t="str">
            <v>定期</v>
          </cell>
          <cell r="R350" t="str">
            <v>PPW</v>
          </cell>
        </row>
        <row r="351">
          <cell r="B351">
            <v>9430</v>
          </cell>
          <cell r="O351" t="str">
            <v>A</v>
          </cell>
          <cell r="P351" t="str">
            <v>定期</v>
          </cell>
          <cell r="R351" t="str">
            <v>PPW</v>
          </cell>
        </row>
        <row r="352">
          <cell r="B352">
            <v>9430</v>
          </cell>
          <cell r="O352">
            <v>0</v>
          </cell>
          <cell r="P352">
            <v>0</v>
          </cell>
          <cell r="R352" t="str">
            <v>網かごｽﾄｯｶｰ</v>
          </cell>
        </row>
        <row r="353">
          <cell r="B353">
            <v>9430</v>
          </cell>
          <cell r="O353" t="str">
            <v>B</v>
          </cell>
          <cell r="P353" t="str">
            <v>日常</v>
          </cell>
          <cell r="R353" t="str">
            <v>ｻﾝﾄﾞﾌﾞﾗｽﾄ</v>
          </cell>
        </row>
        <row r="354">
          <cell r="B354">
            <v>9430</v>
          </cell>
          <cell r="O354" t="str">
            <v>A</v>
          </cell>
          <cell r="P354" t="str">
            <v>定期</v>
          </cell>
          <cell r="R354" t="str">
            <v>VHG</v>
          </cell>
        </row>
        <row r="355">
          <cell r="B355">
            <v>9430</v>
          </cell>
          <cell r="O355" t="str">
            <v>A</v>
          </cell>
          <cell r="P355" t="str">
            <v>定期</v>
          </cell>
          <cell r="R355" t="str">
            <v>VHG</v>
          </cell>
        </row>
        <row r="356">
          <cell r="B356">
            <v>9430</v>
          </cell>
          <cell r="O356" t="str">
            <v>A</v>
          </cell>
          <cell r="P356" t="str">
            <v>定期</v>
          </cell>
          <cell r="R356" t="str">
            <v>PPW</v>
          </cell>
        </row>
        <row r="357">
          <cell r="B357">
            <v>9430</v>
          </cell>
          <cell r="O357">
            <v>0</v>
          </cell>
          <cell r="P357">
            <v>0</v>
          </cell>
          <cell r="R357" t="str">
            <v>網かごｽﾄｯｶｰ</v>
          </cell>
        </row>
        <row r="358">
          <cell r="B358">
            <v>9430</v>
          </cell>
          <cell r="O358">
            <v>0</v>
          </cell>
          <cell r="P358">
            <v>0</v>
          </cell>
          <cell r="R358" t="str">
            <v>網かごｽﾄｯｶｰ</v>
          </cell>
        </row>
        <row r="359">
          <cell r="B359">
            <v>9430</v>
          </cell>
          <cell r="O359">
            <v>0</v>
          </cell>
          <cell r="P359">
            <v>0</v>
          </cell>
          <cell r="R359" t="str">
            <v>網かごｽﾄｯｶｰ</v>
          </cell>
        </row>
        <row r="360">
          <cell r="B360">
            <v>9430</v>
          </cell>
          <cell r="O360">
            <v>0</v>
          </cell>
          <cell r="P360">
            <v>0</v>
          </cell>
          <cell r="R360" t="str">
            <v>網かごｽﾄｯｶｰ</v>
          </cell>
        </row>
        <row r="361">
          <cell r="B361">
            <v>9430</v>
          </cell>
          <cell r="O361" t="str">
            <v>B</v>
          </cell>
          <cell r="P361" t="str">
            <v>日常</v>
          </cell>
          <cell r="R361" t="str">
            <v>傘表ﾊﾞﾘ磨き装置</v>
          </cell>
        </row>
        <row r="362">
          <cell r="B362">
            <v>9430</v>
          </cell>
          <cell r="O362" t="str">
            <v>B</v>
          </cell>
          <cell r="P362" t="str">
            <v>日常</v>
          </cell>
          <cell r="R362" t="str">
            <v>傘表ﾊﾞﾘ磨き装置</v>
          </cell>
        </row>
        <row r="363">
          <cell r="B363">
            <v>9430</v>
          </cell>
          <cell r="O363" t="str">
            <v>B</v>
          </cell>
          <cell r="P363" t="str">
            <v>日常</v>
          </cell>
          <cell r="R363" t="str">
            <v>傘表ﾊﾞﾘ磨き装置</v>
          </cell>
        </row>
        <row r="366">
          <cell r="B366">
            <v>9440</v>
          </cell>
          <cell r="O366" t="str">
            <v>B</v>
          </cell>
          <cell r="P366" t="str">
            <v>日常</v>
          </cell>
          <cell r="R366" t="str">
            <v>VEC</v>
          </cell>
        </row>
        <row r="367">
          <cell r="B367">
            <v>9440</v>
          </cell>
          <cell r="O367" t="str">
            <v>A</v>
          </cell>
          <cell r="P367" t="str">
            <v>定期</v>
          </cell>
          <cell r="R367" t="str">
            <v>ﾁｯﾌﾟ溶接機</v>
          </cell>
        </row>
        <row r="368">
          <cell r="B368">
            <v>9440</v>
          </cell>
          <cell r="O368">
            <v>0</v>
          </cell>
          <cell r="P368">
            <v>0</v>
          </cell>
          <cell r="R368" t="str">
            <v>網かごｽﾄｯｶｰ</v>
          </cell>
        </row>
        <row r="369">
          <cell r="B369">
            <v>9440</v>
          </cell>
          <cell r="O369" t="str">
            <v>C</v>
          </cell>
          <cell r="P369" t="str">
            <v>日常</v>
          </cell>
          <cell r="R369" t="str">
            <v>VPM</v>
          </cell>
        </row>
        <row r="370">
          <cell r="B370">
            <v>9440</v>
          </cell>
          <cell r="O370" t="str">
            <v>B</v>
          </cell>
          <cell r="P370" t="str">
            <v>日常</v>
          </cell>
          <cell r="R370" t="str">
            <v>VEC</v>
          </cell>
        </row>
        <row r="371">
          <cell r="B371">
            <v>9440</v>
          </cell>
          <cell r="O371" t="str">
            <v>A</v>
          </cell>
          <cell r="P371" t="str">
            <v>定期</v>
          </cell>
          <cell r="R371" t="str">
            <v>ﾁｯﾌﾟ溶接機</v>
          </cell>
        </row>
        <row r="372">
          <cell r="B372">
            <v>9440</v>
          </cell>
          <cell r="O372">
            <v>0</v>
          </cell>
          <cell r="P372">
            <v>0</v>
          </cell>
          <cell r="R372" t="str">
            <v>網かごｽﾄｯｶｰ</v>
          </cell>
        </row>
        <row r="373">
          <cell r="B373">
            <v>9440</v>
          </cell>
          <cell r="O373" t="str">
            <v>C</v>
          </cell>
          <cell r="P373" t="str">
            <v>日常</v>
          </cell>
          <cell r="R373" t="str">
            <v>VPM</v>
          </cell>
        </row>
        <row r="374">
          <cell r="B374">
            <v>9440</v>
          </cell>
          <cell r="O374" t="str">
            <v>B</v>
          </cell>
          <cell r="P374" t="str">
            <v>日常</v>
          </cell>
          <cell r="R374" t="str">
            <v>VEC</v>
          </cell>
        </row>
        <row r="375">
          <cell r="B375">
            <v>9440</v>
          </cell>
          <cell r="O375" t="str">
            <v>A</v>
          </cell>
          <cell r="P375" t="str">
            <v>定期</v>
          </cell>
          <cell r="R375" t="str">
            <v>ﾁｯﾌﾟ溶接機</v>
          </cell>
        </row>
        <row r="376">
          <cell r="B376">
            <v>9440</v>
          </cell>
          <cell r="O376">
            <v>0</v>
          </cell>
          <cell r="P376">
            <v>0</v>
          </cell>
          <cell r="R376" t="str">
            <v>網かごｽﾄｯｶｰ</v>
          </cell>
        </row>
        <row r="377">
          <cell r="B377">
            <v>9440</v>
          </cell>
          <cell r="O377" t="str">
            <v>C</v>
          </cell>
          <cell r="P377" t="str">
            <v>日常</v>
          </cell>
          <cell r="R377" t="str">
            <v>VPM</v>
          </cell>
        </row>
        <row r="378">
          <cell r="B378">
            <v>9440</v>
          </cell>
          <cell r="O378" t="str">
            <v>B</v>
          </cell>
          <cell r="P378" t="str">
            <v>日常</v>
          </cell>
          <cell r="R378" t="str">
            <v>VEC</v>
          </cell>
        </row>
        <row r="379">
          <cell r="B379">
            <v>9440</v>
          </cell>
          <cell r="O379" t="str">
            <v>A</v>
          </cell>
          <cell r="P379" t="str">
            <v>定期</v>
          </cell>
          <cell r="R379" t="str">
            <v>ﾁｯﾌﾟ溶接機</v>
          </cell>
        </row>
        <row r="380">
          <cell r="B380">
            <v>9440</v>
          </cell>
          <cell r="O380">
            <v>0</v>
          </cell>
          <cell r="P380">
            <v>0</v>
          </cell>
          <cell r="R380" t="str">
            <v>網かごｽﾄｯｶｰ</v>
          </cell>
        </row>
        <row r="381">
          <cell r="B381">
            <v>9440</v>
          </cell>
          <cell r="O381" t="str">
            <v>C</v>
          </cell>
          <cell r="P381" t="str">
            <v>日常</v>
          </cell>
          <cell r="R381" t="str">
            <v>VPM</v>
          </cell>
        </row>
        <row r="382">
          <cell r="B382">
            <v>9440</v>
          </cell>
          <cell r="O382" t="str">
            <v>B</v>
          </cell>
          <cell r="P382" t="str">
            <v>日常</v>
          </cell>
          <cell r="R382" t="str">
            <v>VEC</v>
          </cell>
        </row>
        <row r="383">
          <cell r="B383">
            <v>9440</v>
          </cell>
          <cell r="O383" t="str">
            <v>A</v>
          </cell>
          <cell r="P383" t="str">
            <v>定期</v>
          </cell>
          <cell r="R383" t="str">
            <v>ﾁｯﾌﾟ溶接機</v>
          </cell>
        </row>
        <row r="384">
          <cell r="B384">
            <v>9440</v>
          </cell>
          <cell r="O384">
            <v>0</v>
          </cell>
          <cell r="P384">
            <v>0</v>
          </cell>
          <cell r="R384" t="str">
            <v>網かごｽﾄｯｶｰ</v>
          </cell>
        </row>
        <row r="385">
          <cell r="B385">
            <v>9440</v>
          </cell>
          <cell r="O385" t="str">
            <v>C</v>
          </cell>
          <cell r="P385" t="str">
            <v>日常</v>
          </cell>
          <cell r="R385" t="str">
            <v>VPM</v>
          </cell>
        </row>
        <row r="386">
          <cell r="B386">
            <v>9440</v>
          </cell>
          <cell r="O386" t="str">
            <v>B</v>
          </cell>
          <cell r="P386" t="str">
            <v>日常</v>
          </cell>
          <cell r="R386" t="str">
            <v>VEC</v>
          </cell>
        </row>
        <row r="387">
          <cell r="B387">
            <v>9440</v>
          </cell>
          <cell r="O387" t="str">
            <v>A</v>
          </cell>
          <cell r="P387" t="str">
            <v>定期</v>
          </cell>
          <cell r="R387" t="str">
            <v>ﾁｯﾌﾟ溶接機</v>
          </cell>
        </row>
        <row r="388">
          <cell r="B388">
            <v>9440</v>
          </cell>
          <cell r="O388">
            <v>0</v>
          </cell>
          <cell r="P388">
            <v>0</v>
          </cell>
          <cell r="R388" t="str">
            <v>網かごｽﾄｯｶｰ</v>
          </cell>
        </row>
        <row r="389">
          <cell r="B389">
            <v>9440</v>
          </cell>
          <cell r="O389" t="str">
            <v>C</v>
          </cell>
          <cell r="P389" t="str">
            <v>日常</v>
          </cell>
          <cell r="R389" t="str">
            <v>VPM</v>
          </cell>
        </row>
        <row r="390">
          <cell r="B390">
            <v>9510</v>
          </cell>
          <cell r="O390" t="str">
            <v>A</v>
          </cell>
          <cell r="P390" t="str">
            <v>定期</v>
          </cell>
          <cell r="R390" t="str">
            <v>ﾏｲｸﾛｾﾊﾟﾚｰﾀｰ</v>
          </cell>
        </row>
        <row r="391">
          <cell r="B391">
            <v>9510</v>
          </cell>
          <cell r="O391" t="str">
            <v>A</v>
          </cell>
          <cell r="P391" t="str">
            <v>定期</v>
          </cell>
          <cell r="R391" t="str">
            <v>ﾏｲｸﾛｾﾊﾟﾚｰﾀｰ</v>
          </cell>
        </row>
        <row r="392">
          <cell r="B392">
            <v>9510</v>
          </cell>
          <cell r="O392">
            <v>0</v>
          </cell>
          <cell r="P392">
            <v>0</v>
          </cell>
          <cell r="R392" t="str">
            <v>ﾏｸﾞﾈｯﾄｾﾊﾟﾚｰﾀｰ</v>
          </cell>
        </row>
        <row r="393">
          <cell r="B393">
            <v>9510</v>
          </cell>
          <cell r="O393">
            <v>0</v>
          </cell>
          <cell r="P393">
            <v>0</v>
          </cell>
          <cell r="R393" t="str">
            <v>ﾏｸﾞﾈｯﾄｾﾊﾟﾚｰﾀｰ</v>
          </cell>
        </row>
        <row r="395">
          <cell r="B395">
            <v>9510</v>
          </cell>
          <cell r="O395" t="str">
            <v>A</v>
          </cell>
          <cell r="P395" t="str">
            <v>定期</v>
          </cell>
          <cell r="R395" t="str">
            <v>CLG</v>
          </cell>
        </row>
        <row r="396">
          <cell r="B396">
            <v>9510</v>
          </cell>
          <cell r="O396" t="str">
            <v>A</v>
          </cell>
          <cell r="P396" t="str">
            <v>定期</v>
          </cell>
          <cell r="R396" t="str">
            <v>CLG</v>
          </cell>
        </row>
        <row r="397">
          <cell r="B397">
            <v>9510</v>
          </cell>
          <cell r="O397" t="str">
            <v>A</v>
          </cell>
          <cell r="P397" t="str">
            <v>定期</v>
          </cell>
          <cell r="R397" t="str">
            <v>MUG</v>
          </cell>
        </row>
        <row r="398">
          <cell r="B398">
            <v>9510</v>
          </cell>
          <cell r="O398" t="str">
            <v>A</v>
          </cell>
          <cell r="P398" t="str">
            <v>定期</v>
          </cell>
          <cell r="R398" t="str">
            <v>MUG</v>
          </cell>
        </row>
        <row r="399">
          <cell r="B399">
            <v>9510</v>
          </cell>
          <cell r="O399" t="str">
            <v>A</v>
          </cell>
          <cell r="P399" t="str">
            <v>定期</v>
          </cell>
          <cell r="R399" t="str">
            <v>MUG</v>
          </cell>
        </row>
        <row r="400">
          <cell r="B400">
            <v>9510</v>
          </cell>
          <cell r="O400" t="str">
            <v>A</v>
          </cell>
          <cell r="P400" t="str">
            <v>定期</v>
          </cell>
          <cell r="R400" t="str">
            <v>MUG</v>
          </cell>
        </row>
        <row r="401">
          <cell r="B401">
            <v>9510</v>
          </cell>
          <cell r="O401" t="str">
            <v>B</v>
          </cell>
          <cell r="P401" t="str">
            <v>日常</v>
          </cell>
          <cell r="R401" t="str">
            <v>GIM</v>
          </cell>
        </row>
        <row r="402">
          <cell r="B402">
            <v>9510</v>
          </cell>
          <cell r="O402" t="str">
            <v>B</v>
          </cell>
          <cell r="P402" t="str">
            <v>日常</v>
          </cell>
          <cell r="R402" t="str">
            <v>自動網差機</v>
          </cell>
        </row>
        <row r="403">
          <cell r="B403">
            <v>9510</v>
          </cell>
          <cell r="O403" t="str">
            <v>A</v>
          </cell>
          <cell r="P403" t="str">
            <v>定期</v>
          </cell>
          <cell r="R403" t="str">
            <v>CLG</v>
          </cell>
        </row>
        <row r="404">
          <cell r="B404">
            <v>9510</v>
          </cell>
          <cell r="O404" t="str">
            <v>A</v>
          </cell>
          <cell r="P404" t="str">
            <v>定期</v>
          </cell>
          <cell r="R404" t="str">
            <v>CLG</v>
          </cell>
        </row>
        <row r="405">
          <cell r="B405">
            <v>9510</v>
          </cell>
          <cell r="O405" t="str">
            <v>A</v>
          </cell>
          <cell r="P405" t="str">
            <v>定期</v>
          </cell>
          <cell r="R405" t="str">
            <v>MUG</v>
          </cell>
        </row>
        <row r="406">
          <cell r="B406">
            <v>9510</v>
          </cell>
          <cell r="O406" t="str">
            <v>A</v>
          </cell>
          <cell r="P406" t="str">
            <v>定期</v>
          </cell>
          <cell r="R406" t="str">
            <v>MUG</v>
          </cell>
        </row>
        <row r="407">
          <cell r="B407">
            <v>9510</v>
          </cell>
          <cell r="O407" t="str">
            <v>A</v>
          </cell>
          <cell r="P407" t="str">
            <v>定期</v>
          </cell>
          <cell r="R407" t="str">
            <v>MUG</v>
          </cell>
        </row>
        <row r="408">
          <cell r="B408">
            <v>9510</v>
          </cell>
          <cell r="O408" t="str">
            <v>A</v>
          </cell>
          <cell r="P408" t="str">
            <v>定期</v>
          </cell>
          <cell r="R408" t="str">
            <v>MUG</v>
          </cell>
        </row>
        <row r="409">
          <cell r="B409">
            <v>9510</v>
          </cell>
          <cell r="O409" t="str">
            <v>B</v>
          </cell>
          <cell r="P409" t="str">
            <v>日常</v>
          </cell>
          <cell r="R409" t="str">
            <v>GIM</v>
          </cell>
        </row>
        <row r="410">
          <cell r="B410">
            <v>9510</v>
          </cell>
          <cell r="O410" t="str">
            <v>B</v>
          </cell>
          <cell r="P410" t="str">
            <v>日常</v>
          </cell>
          <cell r="R410" t="str">
            <v>自動網差機</v>
          </cell>
        </row>
        <row r="411">
          <cell r="B411">
            <v>9510</v>
          </cell>
          <cell r="O411" t="str">
            <v>A</v>
          </cell>
          <cell r="P411" t="str">
            <v>定期</v>
          </cell>
          <cell r="R411" t="str">
            <v>CLG</v>
          </cell>
        </row>
        <row r="412">
          <cell r="B412">
            <v>9510</v>
          </cell>
          <cell r="O412" t="str">
            <v>A</v>
          </cell>
          <cell r="P412" t="str">
            <v>定期</v>
          </cell>
          <cell r="R412" t="str">
            <v>CLG</v>
          </cell>
        </row>
        <row r="413">
          <cell r="B413">
            <v>9510</v>
          </cell>
          <cell r="O413" t="str">
            <v>A</v>
          </cell>
          <cell r="P413" t="str">
            <v>定期</v>
          </cell>
          <cell r="R413" t="str">
            <v>VHG</v>
          </cell>
        </row>
        <row r="414">
          <cell r="B414">
            <v>9510</v>
          </cell>
          <cell r="O414" t="str">
            <v>A</v>
          </cell>
          <cell r="P414" t="str">
            <v>定期</v>
          </cell>
          <cell r="R414" t="str">
            <v>MUG</v>
          </cell>
        </row>
        <row r="415">
          <cell r="B415">
            <v>9510</v>
          </cell>
          <cell r="O415" t="str">
            <v>A</v>
          </cell>
          <cell r="P415" t="str">
            <v>定期</v>
          </cell>
          <cell r="R415" t="str">
            <v>MUG</v>
          </cell>
        </row>
        <row r="416">
          <cell r="B416">
            <v>9510</v>
          </cell>
          <cell r="O416" t="str">
            <v>B</v>
          </cell>
          <cell r="P416" t="str">
            <v>日常</v>
          </cell>
          <cell r="R416" t="str">
            <v>GIM</v>
          </cell>
        </row>
        <row r="417">
          <cell r="B417">
            <v>9510</v>
          </cell>
          <cell r="O417" t="str">
            <v>B</v>
          </cell>
          <cell r="P417" t="str">
            <v>日常</v>
          </cell>
          <cell r="R417" t="str">
            <v>自動網差機</v>
          </cell>
        </row>
        <row r="418">
          <cell r="B418">
            <v>9510</v>
          </cell>
          <cell r="O418" t="str">
            <v>A</v>
          </cell>
          <cell r="P418" t="str">
            <v>定期</v>
          </cell>
          <cell r="R418" t="str">
            <v>CLG</v>
          </cell>
        </row>
        <row r="419">
          <cell r="B419">
            <v>9510</v>
          </cell>
          <cell r="O419" t="str">
            <v>A</v>
          </cell>
          <cell r="P419" t="str">
            <v>定期</v>
          </cell>
          <cell r="R419" t="str">
            <v>CLG</v>
          </cell>
        </row>
        <row r="420">
          <cell r="B420">
            <v>9510</v>
          </cell>
          <cell r="O420" t="str">
            <v>A</v>
          </cell>
          <cell r="P420" t="str">
            <v>定期</v>
          </cell>
          <cell r="R420" t="str">
            <v>VHG</v>
          </cell>
        </row>
        <row r="421">
          <cell r="B421">
            <v>9510</v>
          </cell>
          <cell r="O421" t="str">
            <v>A</v>
          </cell>
          <cell r="P421" t="str">
            <v>定期</v>
          </cell>
          <cell r="R421" t="str">
            <v>MUG</v>
          </cell>
        </row>
        <row r="422">
          <cell r="B422">
            <v>9510</v>
          </cell>
          <cell r="O422" t="str">
            <v>A</v>
          </cell>
          <cell r="P422" t="str">
            <v>定期</v>
          </cell>
          <cell r="R422" t="str">
            <v>MUG</v>
          </cell>
        </row>
        <row r="423">
          <cell r="B423">
            <v>9510</v>
          </cell>
          <cell r="O423" t="str">
            <v>B</v>
          </cell>
          <cell r="P423" t="str">
            <v>日常</v>
          </cell>
          <cell r="R423" t="str">
            <v>GIM</v>
          </cell>
        </row>
        <row r="424">
          <cell r="B424">
            <v>9510</v>
          </cell>
          <cell r="O424" t="str">
            <v>B</v>
          </cell>
          <cell r="P424" t="str">
            <v>日常</v>
          </cell>
          <cell r="R424" t="str">
            <v>自動網差機</v>
          </cell>
        </row>
        <row r="425">
          <cell r="B425">
            <v>9510</v>
          </cell>
          <cell r="O425" t="str">
            <v>A</v>
          </cell>
          <cell r="P425" t="str">
            <v>定期</v>
          </cell>
          <cell r="R425" t="str">
            <v>CLG</v>
          </cell>
        </row>
        <row r="426">
          <cell r="B426">
            <v>9510</v>
          </cell>
          <cell r="O426" t="str">
            <v>A</v>
          </cell>
          <cell r="P426" t="str">
            <v>定期</v>
          </cell>
          <cell r="R426" t="str">
            <v>CLG</v>
          </cell>
        </row>
        <row r="427">
          <cell r="B427">
            <v>9510</v>
          </cell>
          <cell r="O427" t="str">
            <v>A</v>
          </cell>
          <cell r="P427" t="str">
            <v>定期</v>
          </cell>
          <cell r="R427" t="str">
            <v>VHG</v>
          </cell>
        </row>
        <row r="428">
          <cell r="B428">
            <v>9510</v>
          </cell>
          <cell r="O428" t="str">
            <v>A</v>
          </cell>
          <cell r="P428" t="str">
            <v>定期</v>
          </cell>
          <cell r="R428" t="str">
            <v>MUG</v>
          </cell>
        </row>
        <row r="429">
          <cell r="B429">
            <v>9510</v>
          </cell>
          <cell r="O429" t="str">
            <v>A</v>
          </cell>
          <cell r="P429" t="str">
            <v>定期</v>
          </cell>
          <cell r="R429" t="str">
            <v>MUG</v>
          </cell>
        </row>
        <row r="430">
          <cell r="B430">
            <v>9510</v>
          </cell>
          <cell r="O430" t="str">
            <v>B</v>
          </cell>
          <cell r="P430" t="str">
            <v>日常</v>
          </cell>
          <cell r="R430" t="str">
            <v>GIM</v>
          </cell>
        </row>
        <row r="431">
          <cell r="B431">
            <v>9510</v>
          </cell>
          <cell r="O431" t="str">
            <v>B</v>
          </cell>
          <cell r="P431" t="str">
            <v>日常</v>
          </cell>
          <cell r="R431" t="str">
            <v>自動網差機</v>
          </cell>
        </row>
        <row r="432">
          <cell r="B432">
            <v>9510</v>
          </cell>
          <cell r="O432" t="str">
            <v>A</v>
          </cell>
          <cell r="P432" t="str">
            <v>定期</v>
          </cell>
          <cell r="R432" t="str">
            <v>VHG</v>
          </cell>
        </row>
        <row r="433">
          <cell r="B433">
            <v>9510</v>
          </cell>
          <cell r="O433" t="str">
            <v>A</v>
          </cell>
          <cell r="P433" t="str">
            <v>定期</v>
          </cell>
          <cell r="R433" t="str">
            <v>CLG</v>
          </cell>
        </row>
        <row r="434">
          <cell r="B434">
            <v>9510</v>
          </cell>
          <cell r="O434" t="str">
            <v>A</v>
          </cell>
          <cell r="P434" t="str">
            <v>定期</v>
          </cell>
          <cell r="R434" t="str">
            <v>CLG</v>
          </cell>
        </row>
        <row r="435">
          <cell r="B435">
            <v>9510</v>
          </cell>
          <cell r="O435" t="str">
            <v>A</v>
          </cell>
          <cell r="P435" t="str">
            <v>定期</v>
          </cell>
          <cell r="R435" t="str">
            <v>MUG</v>
          </cell>
        </row>
        <row r="436">
          <cell r="B436">
            <v>9510</v>
          </cell>
          <cell r="O436" t="str">
            <v>A</v>
          </cell>
          <cell r="P436" t="str">
            <v>定期</v>
          </cell>
          <cell r="R436" t="str">
            <v>MUG</v>
          </cell>
        </row>
        <row r="437">
          <cell r="B437">
            <v>9510</v>
          </cell>
          <cell r="O437" t="str">
            <v>B</v>
          </cell>
          <cell r="P437" t="str">
            <v>日常</v>
          </cell>
          <cell r="R437" t="str">
            <v>GIM</v>
          </cell>
        </row>
        <row r="438">
          <cell r="B438">
            <v>9510</v>
          </cell>
          <cell r="O438" t="str">
            <v>B</v>
          </cell>
          <cell r="P438" t="str">
            <v>日常</v>
          </cell>
          <cell r="R438" t="str">
            <v>自動網差機</v>
          </cell>
        </row>
        <row r="439">
          <cell r="B439">
            <v>9510</v>
          </cell>
          <cell r="O439" t="str">
            <v>A</v>
          </cell>
          <cell r="P439" t="str">
            <v>定期</v>
          </cell>
          <cell r="R439" t="str">
            <v>VHG</v>
          </cell>
        </row>
        <row r="440">
          <cell r="B440">
            <v>9510</v>
          </cell>
          <cell r="O440" t="str">
            <v>A</v>
          </cell>
          <cell r="P440" t="str">
            <v>定期</v>
          </cell>
          <cell r="R440" t="str">
            <v>CLG</v>
          </cell>
        </row>
        <row r="441">
          <cell r="B441">
            <v>9510</v>
          </cell>
          <cell r="O441" t="str">
            <v>A</v>
          </cell>
          <cell r="P441" t="str">
            <v>定期</v>
          </cell>
          <cell r="R441" t="str">
            <v>CLG</v>
          </cell>
        </row>
        <row r="442">
          <cell r="B442">
            <v>9510</v>
          </cell>
          <cell r="O442" t="str">
            <v>A</v>
          </cell>
          <cell r="P442" t="str">
            <v>定期</v>
          </cell>
          <cell r="R442" t="str">
            <v>MUG</v>
          </cell>
        </row>
        <row r="443">
          <cell r="B443">
            <v>9510</v>
          </cell>
          <cell r="O443" t="str">
            <v>A</v>
          </cell>
          <cell r="P443" t="str">
            <v>定期</v>
          </cell>
          <cell r="R443" t="str">
            <v>MUG</v>
          </cell>
        </row>
        <row r="444">
          <cell r="B444">
            <v>9510</v>
          </cell>
          <cell r="O444" t="str">
            <v>B</v>
          </cell>
          <cell r="P444" t="str">
            <v>日常</v>
          </cell>
          <cell r="R444" t="str">
            <v>GIM</v>
          </cell>
        </row>
        <row r="445">
          <cell r="B445">
            <v>9510</v>
          </cell>
          <cell r="O445" t="str">
            <v>B</v>
          </cell>
          <cell r="P445" t="str">
            <v>日常</v>
          </cell>
          <cell r="R445" t="str">
            <v>自動網差機</v>
          </cell>
        </row>
        <row r="446">
          <cell r="B446">
            <v>9520</v>
          </cell>
          <cell r="O446" t="str">
            <v>A</v>
          </cell>
          <cell r="P446" t="str">
            <v>定期</v>
          </cell>
          <cell r="R446" t="str">
            <v>ﾏｲｸﾛｾﾊﾟﾚｰﾀｰ</v>
          </cell>
        </row>
        <row r="447">
          <cell r="B447">
            <v>9520</v>
          </cell>
          <cell r="O447" t="str">
            <v>A</v>
          </cell>
          <cell r="P447" t="str">
            <v>定期</v>
          </cell>
          <cell r="R447" t="str">
            <v>ﾏｲｸﾛｾﾊﾟﾚｰﾀｰ</v>
          </cell>
        </row>
        <row r="448">
          <cell r="B448">
            <v>9520</v>
          </cell>
          <cell r="O448" t="str">
            <v>A</v>
          </cell>
          <cell r="P448" t="str">
            <v>定期</v>
          </cell>
          <cell r="R448" t="str">
            <v>ﾏｲｸﾛｾﾊﾟﾚｰﾀｰ</v>
          </cell>
        </row>
        <row r="449">
          <cell r="B449">
            <v>9520</v>
          </cell>
          <cell r="O449" t="str">
            <v>A</v>
          </cell>
          <cell r="P449" t="str">
            <v>定期</v>
          </cell>
          <cell r="R449" t="str">
            <v>ﾏｲｸﾛｾﾊﾟﾚｰﾀｰ</v>
          </cell>
        </row>
        <row r="450">
          <cell r="B450">
            <v>9520</v>
          </cell>
          <cell r="O450" t="str">
            <v>A</v>
          </cell>
          <cell r="P450" t="str">
            <v>定期</v>
          </cell>
          <cell r="R450" t="str">
            <v>ﾏｲｸﾛｾﾊﾟﾚｰﾀｰ</v>
          </cell>
        </row>
        <row r="451">
          <cell r="B451">
            <v>9520</v>
          </cell>
          <cell r="O451">
            <v>0</v>
          </cell>
          <cell r="P451">
            <v>0</v>
          </cell>
          <cell r="R451" t="str">
            <v>ﾏｸﾞﾈｯﾄｾﾊﾟﾚｰﾀｰ</v>
          </cell>
        </row>
        <row r="452">
          <cell r="B452">
            <v>9520</v>
          </cell>
          <cell r="O452">
            <v>0</v>
          </cell>
          <cell r="P452">
            <v>0</v>
          </cell>
          <cell r="R452" t="str">
            <v>ﾏｸﾞﾈｯﾄｾﾊﾟﾚｰﾀｰ</v>
          </cell>
        </row>
        <row r="453">
          <cell r="B453">
            <v>9520</v>
          </cell>
          <cell r="O453">
            <v>0</v>
          </cell>
          <cell r="P453">
            <v>0</v>
          </cell>
          <cell r="R453" t="str">
            <v>ﾏｸﾞﾈｯﾄｾﾊﾟﾚｰﾀｰ</v>
          </cell>
        </row>
        <row r="454">
          <cell r="B454">
            <v>9520</v>
          </cell>
          <cell r="O454">
            <v>0</v>
          </cell>
          <cell r="P454">
            <v>0</v>
          </cell>
          <cell r="R454" t="str">
            <v>ﾏｸﾞﾈｯﾄｾﾊﾟﾚｰﾀｰ</v>
          </cell>
        </row>
        <row r="455">
          <cell r="B455">
            <v>9520</v>
          </cell>
          <cell r="O455">
            <v>0</v>
          </cell>
          <cell r="P455">
            <v>0</v>
          </cell>
          <cell r="R455" t="str">
            <v>ﾏｸﾞﾈｯﾄｾﾊﾟﾚｰﾀｰ</v>
          </cell>
        </row>
        <row r="456">
          <cell r="B456">
            <v>9520</v>
          </cell>
          <cell r="O456" t="str">
            <v>A</v>
          </cell>
          <cell r="P456" t="str">
            <v>定期</v>
          </cell>
          <cell r="R456" t="str">
            <v>CLG</v>
          </cell>
        </row>
        <row r="457">
          <cell r="B457">
            <v>9520</v>
          </cell>
          <cell r="O457" t="str">
            <v>A</v>
          </cell>
          <cell r="P457" t="str">
            <v>定期</v>
          </cell>
          <cell r="R457" t="str">
            <v>CLG</v>
          </cell>
        </row>
        <row r="458">
          <cell r="B458">
            <v>9520</v>
          </cell>
          <cell r="O458" t="str">
            <v>A</v>
          </cell>
          <cell r="P458" t="str">
            <v>定期</v>
          </cell>
          <cell r="R458" t="str">
            <v>MUG</v>
          </cell>
        </row>
        <row r="459">
          <cell r="B459">
            <v>9520</v>
          </cell>
          <cell r="O459" t="str">
            <v>A</v>
          </cell>
          <cell r="P459" t="str">
            <v>定期</v>
          </cell>
          <cell r="R459" t="str">
            <v>MUG</v>
          </cell>
        </row>
        <row r="460">
          <cell r="B460">
            <v>9520</v>
          </cell>
          <cell r="O460" t="str">
            <v>A</v>
          </cell>
          <cell r="P460" t="str">
            <v>定期</v>
          </cell>
          <cell r="R460" t="str">
            <v>MUG</v>
          </cell>
        </row>
        <row r="461">
          <cell r="B461">
            <v>9520</v>
          </cell>
          <cell r="O461" t="str">
            <v>A</v>
          </cell>
          <cell r="P461" t="str">
            <v>定期</v>
          </cell>
          <cell r="R461" t="str">
            <v>MUG</v>
          </cell>
        </row>
        <row r="462">
          <cell r="B462">
            <v>9520</v>
          </cell>
          <cell r="O462" t="str">
            <v>B</v>
          </cell>
          <cell r="P462" t="str">
            <v>日常</v>
          </cell>
          <cell r="R462" t="str">
            <v>GIM</v>
          </cell>
        </row>
        <row r="463">
          <cell r="B463">
            <v>9520</v>
          </cell>
          <cell r="O463" t="str">
            <v>B</v>
          </cell>
          <cell r="P463" t="str">
            <v>日常</v>
          </cell>
          <cell r="R463" t="str">
            <v>自動網差機</v>
          </cell>
        </row>
        <row r="464">
          <cell r="B464">
            <v>9520</v>
          </cell>
          <cell r="O464" t="str">
            <v>A</v>
          </cell>
          <cell r="P464" t="str">
            <v>定期</v>
          </cell>
          <cell r="R464" t="str">
            <v>CLG</v>
          </cell>
        </row>
        <row r="465">
          <cell r="B465">
            <v>9520</v>
          </cell>
          <cell r="O465" t="str">
            <v>A</v>
          </cell>
          <cell r="P465" t="str">
            <v>定期</v>
          </cell>
          <cell r="R465" t="str">
            <v>CLG</v>
          </cell>
        </row>
        <row r="466">
          <cell r="B466">
            <v>9520</v>
          </cell>
          <cell r="O466" t="str">
            <v>A</v>
          </cell>
          <cell r="P466" t="str">
            <v>定期</v>
          </cell>
          <cell r="R466" t="str">
            <v>MUG</v>
          </cell>
        </row>
        <row r="467">
          <cell r="B467">
            <v>9520</v>
          </cell>
          <cell r="O467" t="str">
            <v>A</v>
          </cell>
          <cell r="P467" t="str">
            <v>定期</v>
          </cell>
          <cell r="R467" t="str">
            <v>MUG</v>
          </cell>
        </row>
        <row r="468">
          <cell r="B468">
            <v>9520</v>
          </cell>
          <cell r="O468" t="str">
            <v>A</v>
          </cell>
          <cell r="P468" t="str">
            <v>定期</v>
          </cell>
          <cell r="R468" t="str">
            <v>MUG</v>
          </cell>
        </row>
        <row r="469">
          <cell r="B469">
            <v>9520</v>
          </cell>
          <cell r="O469" t="str">
            <v>A</v>
          </cell>
          <cell r="P469" t="str">
            <v>定期</v>
          </cell>
          <cell r="R469" t="str">
            <v>MUG</v>
          </cell>
        </row>
        <row r="470">
          <cell r="B470">
            <v>9520</v>
          </cell>
          <cell r="O470" t="str">
            <v>B</v>
          </cell>
          <cell r="P470" t="str">
            <v>日常</v>
          </cell>
          <cell r="R470" t="str">
            <v>自動網差機</v>
          </cell>
        </row>
        <row r="471">
          <cell r="B471">
            <v>9520</v>
          </cell>
          <cell r="O471" t="str">
            <v>B</v>
          </cell>
          <cell r="P471" t="str">
            <v>日常</v>
          </cell>
          <cell r="R471" t="str">
            <v>VST</v>
          </cell>
        </row>
        <row r="472">
          <cell r="B472">
            <v>9520</v>
          </cell>
          <cell r="O472" t="str">
            <v>A</v>
          </cell>
          <cell r="P472" t="str">
            <v>定期</v>
          </cell>
          <cell r="R472" t="str">
            <v>CLG</v>
          </cell>
        </row>
        <row r="473">
          <cell r="B473">
            <v>9520</v>
          </cell>
          <cell r="O473" t="str">
            <v>A</v>
          </cell>
          <cell r="P473" t="str">
            <v>定期</v>
          </cell>
          <cell r="R473" t="str">
            <v>CLG</v>
          </cell>
        </row>
        <row r="474">
          <cell r="B474">
            <v>9520</v>
          </cell>
          <cell r="O474" t="str">
            <v>A</v>
          </cell>
          <cell r="P474" t="str">
            <v>定期</v>
          </cell>
          <cell r="R474" t="str">
            <v>MUG</v>
          </cell>
        </row>
        <row r="475">
          <cell r="B475">
            <v>9520</v>
          </cell>
          <cell r="O475" t="str">
            <v>A</v>
          </cell>
          <cell r="P475" t="str">
            <v>定期</v>
          </cell>
          <cell r="R475" t="str">
            <v>MUG</v>
          </cell>
        </row>
        <row r="476">
          <cell r="B476">
            <v>9520</v>
          </cell>
          <cell r="O476" t="str">
            <v>A</v>
          </cell>
          <cell r="P476" t="str">
            <v>定期</v>
          </cell>
          <cell r="R476" t="str">
            <v>MUG</v>
          </cell>
        </row>
        <row r="477">
          <cell r="B477">
            <v>9520</v>
          </cell>
          <cell r="O477" t="str">
            <v>A</v>
          </cell>
          <cell r="P477" t="str">
            <v>定期</v>
          </cell>
          <cell r="R477" t="str">
            <v>MUG</v>
          </cell>
        </row>
        <row r="478">
          <cell r="B478">
            <v>9520</v>
          </cell>
          <cell r="O478" t="str">
            <v>B</v>
          </cell>
          <cell r="P478" t="str">
            <v>日常</v>
          </cell>
          <cell r="R478" t="str">
            <v>自動網差機</v>
          </cell>
        </row>
        <row r="479">
          <cell r="B479">
            <v>9520</v>
          </cell>
          <cell r="O479" t="str">
            <v>B</v>
          </cell>
          <cell r="P479" t="str">
            <v>日常</v>
          </cell>
          <cell r="R479" t="str">
            <v>VST</v>
          </cell>
        </row>
        <row r="480">
          <cell r="B480">
            <v>9520</v>
          </cell>
          <cell r="O480" t="str">
            <v>A</v>
          </cell>
          <cell r="P480" t="str">
            <v>定期</v>
          </cell>
          <cell r="R480" t="str">
            <v>CLG</v>
          </cell>
        </row>
        <row r="481">
          <cell r="B481">
            <v>9520</v>
          </cell>
          <cell r="O481" t="str">
            <v>A</v>
          </cell>
          <cell r="P481" t="str">
            <v>定期</v>
          </cell>
          <cell r="R481" t="str">
            <v>CLG</v>
          </cell>
        </row>
        <row r="482">
          <cell r="B482">
            <v>9520</v>
          </cell>
          <cell r="O482" t="str">
            <v>A</v>
          </cell>
          <cell r="P482" t="str">
            <v>定期</v>
          </cell>
          <cell r="R482" t="str">
            <v>MUG</v>
          </cell>
        </row>
        <row r="483">
          <cell r="B483">
            <v>9520</v>
          </cell>
          <cell r="O483" t="str">
            <v>A</v>
          </cell>
          <cell r="P483" t="str">
            <v>定期</v>
          </cell>
          <cell r="R483" t="str">
            <v>MUG</v>
          </cell>
        </row>
        <row r="484">
          <cell r="B484">
            <v>9520</v>
          </cell>
          <cell r="O484" t="str">
            <v>A</v>
          </cell>
          <cell r="P484" t="str">
            <v>定期</v>
          </cell>
          <cell r="R484" t="str">
            <v>MUG</v>
          </cell>
        </row>
        <row r="485">
          <cell r="B485">
            <v>9520</v>
          </cell>
          <cell r="O485" t="str">
            <v>A</v>
          </cell>
          <cell r="P485" t="str">
            <v>定期</v>
          </cell>
          <cell r="R485" t="str">
            <v>MUG</v>
          </cell>
        </row>
        <row r="486">
          <cell r="B486">
            <v>9520</v>
          </cell>
          <cell r="O486" t="str">
            <v>A</v>
          </cell>
          <cell r="P486" t="str">
            <v>定期</v>
          </cell>
          <cell r="R486" t="str">
            <v>MUG</v>
          </cell>
        </row>
        <row r="487">
          <cell r="B487">
            <v>9520</v>
          </cell>
          <cell r="O487" t="str">
            <v>B</v>
          </cell>
          <cell r="P487" t="str">
            <v>日常</v>
          </cell>
          <cell r="R487" t="str">
            <v>自動網差機</v>
          </cell>
        </row>
        <row r="488">
          <cell r="B488">
            <v>9520</v>
          </cell>
          <cell r="O488" t="str">
            <v>B</v>
          </cell>
          <cell r="P488" t="str">
            <v>日常</v>
          </cell>
          <cell r="R488" t="str">
            <v>VST</v>
          </cell>
        </row>
        <row r="489">
          <cell r="B489">
            <v>9520</v>
          </cell>
          <cell r="O489" t="str">
            <v>A</v>
          </cell>
          <cell r="P489" t="str">
            <v>定期</v>
          </cell>
          <cell r="R489" t="str">
            <v>CLG</v>
          </cell>
        </row>
        <row r="490">
          <cell r="B490">
            <v>9520</v>
          </cell>
          <cell r="O490" t="str">
            <v>A</v>
          </cell>
          <cell r="P490" t="str">
            <v>定期</v>
          </cell>
          <cell r="R490" t="str">
            <v>CLG</v>
          </cell>
        </row>
        <row r="491">
          <cell r="B491">
            <v>9520</v>
          </cell>
          <cell r="O491" t="str">
            <v>A</v>
          </cell>
          <cell r="P491" t="str">
            <v>定期</v>
          </cell>
          <cell r="R491" t="str">
            <v>MUG</v>
          </cell>
        </row>
        <row r="492">
          <cell r="B492">
            <v>9520</v>
          </cell>
          <cell r="O492" t="str">
            <v>A</v>
          </cell>
          <cell r="P492" t="str">
            <v>定期</v>
          </cell>
          <cell r="R492" t="str">
            <v>MUG</v>
          </cell>
        </row>
        <row r="493">
          <cell r="B493">
            <v>9520</v>
          </cell>
          <cell r="O493" t="str">
            <v>A</v>
          </cell>
          <cell r="P493" t="str">
            <v>定期</v>
          </cell>
          <cell r="R493" t="str">
            <v>MUG</v>
          </cell>
        </row>
        <row r="494">
          <cell r="B494">
            <v>9520</v>
          </cell>
          <cell r="O494" t="str">
            <v>A</v>
          </cell>
          <cell r="P494" t="str">
            <v>定期</v>
          </cell>
          <cell r="R494" t="str">
            <v>MUG</v>
          </cell>
        </row>
        <row r="495">
          <cell r="B495">
            <v>9520</v>
          </cell>
          <cell r="O495" t="str">
            <v>A</v>
          </cell>
          <cell r="P495" t="str">
            <v>定期</v>
          </cell>
          <cell r="R495" t="str">
            <v>MUG</v>
          </cell>
        </row>
        <row r="496">
          <cell r="B496">
            <v>9520</v>
          </cell>
          <cell r="O496" t="str">
            <v>B</v>
          </cell>
          <cell r="P496" t="str">
            <v>日常</v>
          </cell>
          <cell r="R496" t="str">
            <v>自動網差機</v>
          </cell>
        </row>
        <row r="497">
          <cell r="B497">
            <v>9520</v>
          </cell>
          <cell r="O497" t="str">
            <v>B</v>
          </cell>
          <cell r="P497" t="str">
            <v>日常</v>
          </cell>
          <cell r="R497" t="str">
            <v>VST</v>
          </cell>
        </row>
        <row r="498">
          <cell r="B498">
            <v>9520</v>
          </cell>
          <cell r="O498" t="str">
            <v>A</v>
          </cell>
          <cell r="P498" t="str">
            <v>定期</v>
          </cell>
          <cell r="R498" t="str">
            <v>CLG</v>
          </cell>
        </row>
        <row r="499">
          <cell r="B499">
            <v>9520</v>
          </cell>
          <cell r="O499" t="str">
            <v>A</v>
          </cell>
          <cell r="P499" t="str">
            <v>定期</v>
          </cell>
          <cell r="R499" t="str">
            <v>CLG</v>
          </cell>
        </row>
        <row r="500">
          <cell r="B500">
            <v>9520</v>
          </cell>
          <cell r="O500" t="str">
            <v>A</v>
          </cell>
          <cell r="P500" t="str">
            <v>定期</v>
          </cell>
          <cell r="R500" t="str">
            <v>MUG</v>
          </cell>
        </row>
        <row r="501">
          <cell r="B501">
            <v>9520</v>
          </cell>
          <cell r="O501" t="str">
            <v>A</v>
          </cell>
          <cell r="P501" t="str">
            <v>定期</v>
          </cell>
          <cell r="R501" t="str">
            <v>MUG</v>
          </cell>
        </row>
        <row r="502">
          <cell r="B502">
            <v>9520</v>
          </cell>
          <cell r="O502" t="str">
            <v>A</v>
          </cell>
          <cell r="P502" t="str">
            <v>定期</v>
          </cell>
          <cell r="R502" t="str">
            <v>MUG</v>
          </cell>
        </row>
        <row r="503">
          <cell r="B503">
            <v>9520</v>
          </cell>
          <cell r="O503" t="str">
            <v>A</v>
          </cell>
          <cell r="P503" t="str">
            <v>定期</v>
          </cell>
          <cell r="R503" t="str">
            <v>MUG</v>
          </cell>
        </row>
        <row r="504">
          <cell r="B504">
            <v>9520</v>
          </cell>
          <cell r="O504" t="str">
            <v>A</v>
          </cell>
          <cell r="P504" t="str">
            <v>定期</v>
          </cell>
          <cell r="R504" t="str">
            <v>MUG</v>
          </cell>
        </row>
        <row r="505">
          <cell r="B505">
            <v>9520</v>
          </cell>
          <cell r="O505" t="str">
            <v>B</v>
          </cell>
          <cell r="P505" t="str">
            <v>日常</v>
          </cell>
          <cell r="R505" t="str">
            <v>自動網差機</v>
          </cell>
        </row>
        <row r="506">
          <cell r="B506">
            <v>9520</v>
          </cell>
          <cell r="O506" t="str">
            <v>B</v>
          </cell>
          <cell r="P506" t="str">
            <v>日常</v>
          </cell>
          <cell r="R506" t="str">
            <v>VST</v>
          </cell>
        </row>
        <row r="507">
          <cell r="B507">
            <v>9520</v>
          </cell>
          <cell r="O507" t="str">
            <v>A</v>
          </cell>
          <cell r="P507" t="str">
            <v>定期</v>
          </cell>
          <cell r="R507" t="str">
            <v>CLG</v>
          </cell>
        </row>
        <row r="508">
          <cell r="B508">
            <v>9520</v>
          </cell>
          <cell r="O508" t="str">
            <v>A</v>
          </cell>
          <cell r="P508" t="str">
            <v>定期</v>
          </cell>
          <cell r="R508" t="str">
            <v>CLG</v>
          </cell>
        </row>
        <row r="509">
          <cell r="B509">
            <v>9520</v>
          </cell>
          <cell r="O509" t="str">
            <v>A</v>
          </cell>
          <cell r="P509" t="str">
            <v>定期</v>
          </cell>
          <cell r="R509" t="str">
            <v>MUG</v>
          </cell>
        </row>
        <row r="510">
          <cell r="B510">
            <v>9520</v>
          </cell>
          <cell r="O510" t="str">
            <v>A</v>
          </cell>
          <cell r="P510" t="str">
            <v>定期</v>
          </cell>
          <cell r="R510" t="str">
            <v>MUG</v>
          </cell>
        </row>
        <row r="511">
          <cell r="B511">
            <v>9520</v>
          </cell>
          <cell r="O511" t="str">
            <v>A</v>
          </cell>
          <cell r="P511" t="str">
            <v>定期</v>
          </cell>
          <cell r="R511" t="str">
            <v>MUG</v>
          </cell>
        </row>
        <row r="512">
          <cell r="B512">
            <v>9520</v>
          </cell>
          <cell r="O512" t="str">
            <v>A</v>
          </cell>
          <cell r="P512" t="str">
            <v>定期</v>
          </cell>
          <cell r="R512" t="str">
            <v>MUG</v>
          </cell>
        </row>
        <row r="513">
          <cell r="B513">
            <v>9520</v>
          </cell>
          <cell r="O513" t="str">
            <v>A</v>
          </cell>
          <cell r="P513" t="str">
            <v>定期</v>
          </cell>
          <cell r="R513" t="str">
            <v>MUG</v>
          </cell>
        </row>
        <row r="514">
          <cell r="B514">
            <v>9520</v>
          </cell>
          <cell r="O514" t="str">
            <v>B</v>
          </cell>
          <cell r="P514" t="str">
            <v>日常</v>
          </cell>
          <cell r="R514" t="str">
            <v>自動網差機</v>
          </cell>
        </row>
        <row r="515">
          <cell r="B515">
            <v>9520</v>
          </cell>
          <cell r="O515" t="str">
            <v>B</v>
          </cell>
          <cell r="P515" t="str">
            <v>日常</v>
          </cell>
          <cell r="R515" t="str">
            <v>VST</v>
          </cell>
        </row>
        <row r="516">
          <cell r="B516">
            <v>9520</v>
          </cell>
          <cell r="O516" t="str">
            <v>A</v>
          </cell>
          <cell r="P516" t="str">
            <v>定期</v>
          </cell>
          <cell r="R516" t="str">
            <v>MUG</v>
          </cell>
        </row>
        <row r="517">
          <cell r="B517">
            <v>9520</v>
          </cell>
          <cell r="O517" t="str">
            <v>A</v>
          </cell>
          <cell r="P517" t="str">
            <v>定期</v>
          </cell>
          <cell r="R517" t="str">
            <v>CLG</v>
          </cell>
        </row>
        <row r="518">
          <cell r="B518">
            <v>9520</v>
          </cell>
          <cell r="O518" t="str">
            <v>A</v>
          </cell>
          <cell r="P518" t="str">
            <v>定期</v>
          </cell>
          <cell r="R518" t="str">
            <v>CLG</v>
          </cell>
        </row>
        <row r="519">
          <cell r="B519">
            <v>9520</v>
          </cell>
          <cell r="O519" t="str">
            <v>A</v>
          </cell>
          <cell r="P519" t="str">
            <v>定期</v>
          </cell>
          <cell r="R519" t="str">
            <v>MUG</v>
          </cell>
        </row>
        <row r="520">
          <cell r="B520">
            <v>9520</v>
          </cell>
          <cell r="O520" t="str">
            <v>A</v>
          </cell>
          <cell r="P520" t="str">
            <v>定期</v>
          </cell>
          <cell r="R520" t="str">
            <v>MUG</v>
          </cell>
        </row>
        <row r="521">
          <cell r="B521">
            <v>9520</v>
          </cell>
          <cell r="O521" t="str">
            <v>A</v>
          </cell>
          <cell r="P521" t="str">
            <v>定期</v>
          </cell>
          <cell r="R521" t="str">
            <v>MUG</v>
          </cell>
        </row>
        <row r="522">
          <cell r="B522">
            <v>9520</v>
          </cell>
          <cell r="O522" t="str">
            <v>A</v>
          </cell>
          <cell r="P522" t="str">
            <v>定期</v>
          </cell>
          <cell r="R522" t="str">
            <v>MUG</v>
          </cell>
        </row>
        <row r="523">
          <cell r="B523">
            <v>9520</v>
          </cell>
          <cell r="O523" t="str">
            <v>B</v>
          </cell>
          <cell r="P523" t="str">
            <v>日常</v>
          </cell>
          <cell r="R523" t="str">
            <v>自動網差機</v>
          </cell>
        </row>
        <row r="524">
          <cell r="B524">
            <v>9520</v>
          </cell>
          <cell r="O524" t="str">
            <v>B</v>
          </cell>
          <cell r="P524" t="str">
            <v>日常</v>
          </cell>
          <cell r="R524" t="str">
            <v>VST</v>
          </cell>
        </row>
        <row r="525">
          <cell r="B525">
            <v>9530</v>
          </cell>
          <cell r="O525" t="str">
            <v>A</v>
          </cell>
          <cell r="P525" t="str">
            <v>定期</v>
          </cell>
          <cell r="R525" t="str">
            <v>ﾏｲｸﾛｾﾊﾟﾚｰﾀｰ</v>
          </cell>
        </row>
        <row r="526">
          <cell r="B526">
            <v>9530</v>
          </cell>
          <cell r="O526" t="str">
            <v>A</v>
          </cell>
          <cell r="P526" t="str">
            <v>定期</v>
          </cell>
          <cell r="R526" t="str">
            <v>ﾏｲｸﾛｾﾊﾟﾚｰﾀｰ</v>
          </cell>
        </row>
        <row r="527">
          <cell r="B527">
            <v>9530</v>
          </cell>
          <cell r="O527">
            <v>0</v>
          </cell>
          <cell r="P527">
            <v>0</v>
          </cell>
          <cell r="R527" t="str">
            <v>ﾏｸﾞﾈｯﾄｾﾊﾟﾚｰﾀｰ</v>
          </cell>
        </row>
        <row r="528">
          <cell r="B528">
            <v>9530</v>
          </cell>
          <cell r="O528">
            <v>0</v>
          </cell>
          <cell r="P528">
            <v>0</v>
          </cell>
          <cell r="R528" t="str">
            <v>ﾏｸﾞﾈｯﾄｾﾊﾟﾚｰﾀｰ</v>
          </cell>
        </row>
        <row r="529">
          <cell r="B529">
            <v>9530</v>
          </cell>
          <cell r="O529" t="str">
            <v>A</v>
          </cell>
          <cell r="P529" t="str">
            <v>定期</v>
          </cell>
          <cell r="R529" t="str">
            <v>MUG</v>
          </cell>
        </row>
        <row r="530">
          <cell r="B530">
            <v>9530</v>
          </cell>
          <cell r="O530" t="str">
            <v>A</v>
          </cell>
          <cell r="P530" t="str">
            <v>定期</v>
          </cell>
          <cell r="R530" t="str">
            <v>MUG</v>
          </cell>
        </row>
        <row r="531">
          <cell r="B531">
            <v>9530</v>
          </cell>
          <cell r="O531" t="str">
            <v>A</v>
          </cell>
          <cell r="P531" t="str">
            <v>定期</v>
          </cell>
          <cell r="R531" t="str">
            <v>MUG</v>
          </cell>
        </row>
        <row r="532">
          <cell r="B532">
            <v>9530</v>
          </cell>
          <cell r="O532" t="str">
            <v>A</v>
          </cell>
          <cell r="P532" t="str">
            <v>定期</v>
          </cell>
          <cell r="R532" t="str">
            <v>MUG</v>
          </cell>
        </row>
        <row r="533">
          <cell r="B533">
            <v>9530</v>
          </cell>
          <cell r="O533" t="str">
            <v>A</v>
          </cell>
          <cell r="P533" t="str">
            <v>定期</v>
          </cell>
          <cell r="R533" t="str">
            <v>MUG</v>
          </cell>
        </row>
        <row r="534">
          <cell r="B534">
            <v>9530</v>
          </cell>
          <cell r="O534" t="str">
            <v>A</v>
          </cell>
          <cell r="P534" t="str">
            <v>定期</v>
          </cell>
          <cell r="R534" t="str">
            <v>CLG</v>
          </cell>
        </row>
        <row r="535">
          <cell r="B535">
            <v>9530</v>
          </cell>
          <cell r="O535" t="str">
            <v>A</v>
          </cell>
          <cell r="P535" t="str">
            <v>定期</v>
          </cell>
          <cell r="R535" t="str">
            <v>CLG</v>
          </cell>
        </row>
        <row r="536">
          <cell r="B536">
            <v>9530</v>
          </cell>
          <cell r="O536" t="str">
            <v>B</v>
          </cell>
          <cell r="P536" t="str">
            <v>日常</v>
          </cell>
          <cell r="R536" t="str">
            <v>自動網差機</v>
          </cell>
        </row>
        <row r="537">
          <cell r="B537">
            <v>9530</v>
          </cell>
          <cell r="O537" t="str">
            <v>A</v>
          </cell>
          <cell r="P537" t="str">
            <v>定期</v>
          </cell>
          <cell r="R537" t="str">
            <v>CLG</v>
          </cell>
        </row>
        <row r="538">
          <cell r="B538">
            <v>9530</v>
          </cell>
          <cell r="O538" t="str">
            <v>B</v>
          </cell>
          <cell r="P538" t="str">
            <v>定期</v>
          </cell>
          <cell r="R538" t="str">
            <v>VMG</v>
          </cell>
        </row>
        <row r="539">
          <cell r="B539">
            <v>9530</v>
          </cell>
          <cell r="O539" t="str">
            <v>A</v>
          </cell>
          <cell r="P539" t="str">
            <v>定期</v>
          </cell>
          <cell r="R539" t="str">
            <v>CLG</v>
          </cell>
        </row>
        <row r="540">
          <cell r="B540">
            <v>9530</v>
          </cell>
          <cell r="O540" t="str">
            <v>B</v>
          </cell>
          <cell r="P540" t="str">
            <v>定期</v>
          </cell>
          <cell r="R540" t="str">
            <v>VMG</v>
          </cell>
        </row>
        <row r="541">
          <cell r="B541">
            <v>9530</v>
          </cell>
          <cell r="O541" t="str">
            <v>A</v>
          </cell>
          <cell r="P541" t="str">
            <v>定期</v>
          </cell>
          <cell r="R541" t="str">
            <v>MUG</v>
          </cell>
        </row>
        <row r="542">
          <cell r="B542">
            <v>9530</v>
          </cell>
          <cell r="O542" t="str">
            <v>B</v>
          </cell>
          <cell r="P542" t="str">
            <v>日常</v>
          </cell>
          <cell r="R542" t="str">
            <v>自動網差機</v>
          </cell>
        </row>
        <row r="543">
          <cell r="B543">
            <v>9530</v>
          </cell>
          <cell r="O543" t="str">
            <v>B</v>
          </cell>
          <cell r="P543" t="str">
            <v>日常</v>
          </cell>
          <cell r="R543" t="str">
            <v>VLT</v>
          </cell>
        </row>
        <row r="544">
          <cell r="B544">
            <v>9530</v>
          </cell>
          <cell r="O544" t="str">
            <v>A</v>
          </cell>
          <cell r="P544" t="str">
            <v>定期</v>
          </cell>
          <cell r="R544" t="str">
            <v>CLG</v>
          </cell>
        </row>
        <row r="545">
          <cell r="B545">
            <v>9530</v>
          </cell>
          <cell r="O545" t="str">
            <v>A</v>
          </cell>
          <cell r="P545" t="str">
            <v>定期</v>
          </cell>
          <cell r="R545" t="str">
            <v>VHG</v>
          </cell>
        </row>
        <row r="546">
          <cell r="B546">
            <v>9530</v>
          </cell>
          <cell r="O546" t="str">
            <v>B</v>
          </cell>
          <cell r="P546" t="str">
            <v>定期</v>
          </cell>
          <cell r="R546" t="str">
            <v>VMG</v>
          </cell>
        </row>
        <row r="547">
          <cell r="B547">
            <v>9530</v>
          </cell>
          <cell r="O547" t="str">
            <v>A</v>
          </cell>
          <cell r="P547" t="str">
            <v>定期</v>
          </cell>
          <cell r="R547" t="str">
            <v>CLG</v>
          </cell>
        </row>
        <row r="548">
          <cell r="B548">
            <v>9530</v>
          </cell>
          <cell r="O548" t="str">
            <v>B</v>
          </cell>
          <cell r="P548" t="str">
            <v>定期</v>
          </cell>
          <cell r="R548" t="str">
            <v>VMG</v>
          </cell>
        </row>
        <row r="549">
          <cell r="B549">
            <v>9530</v>
          </cell>
          <cell r="O549" t="str">
            <v>B</v>
          </cell>
          <cell r="P549" t="str">
            <v>日常</v>
          </cell>
          <cell r="R549" t="str">
            <v>VLT</v>
          </cell>
        </row>
        <row r="550">
          <cell r="B550">
            <v>9530</v>
          </cell>
          <cell r="O550" t="str">
            <v>B</v>
          </cell>
          <cell r="P550" t="str">
            <v>日常</v>
          </cell>
          <cell r="R550" t="str">
            <v>自動網差機</v>
          </cell>
        </row>
        <row r="551">
          <cell r="B551">
            <v>9530</v>
          </cell>
          <cell r="O551" t="str">
            <v>A</v>
          </cell>
          <cell r="P551" t="str">
            <v>定期</v>
          </cell>
          <cell r="R551" t="str">
            <v>ﾏｲｸﾛｾﾊﾟﾚｰﾀｰ</v>
          </cell>
        </row>
        <row r="552">
          <cell r="B552">
            <v>9530</v>
          </cell>
          <cell r="O552" t="str">
            <v>A</v>
          </cell>
          <cell r="P552" t="str">
            <v>定期</v>
          </cell>
          <cell r="R552" t="str">
            <v>ﾏｲｸﾛｾﾊﾟﾚｰﾀｰ</v>
          </cell>
        </row>
        <row r="553">
          <cell r="B553">
            <v>9530</v>
          </cell>
          <cell r="O553" t="str">
            <v>A</v>
          </cell>
          <cell r="P553" t="str">
            <v>定期</v>
          </cell>
          <cell r="R553" t="str">
            <v>CLG</v>
          </cell>
        </row>
        <row r="554">
          <cell r="B554">
            <v>9530</v>
          </cell>
          <cell r="O554" t="str">
            <v>A</v>
          </cell>
          <cell r="P554" t="str">
            <v>定期</v>
          </cell>
          <cell r="R554" t="str">
            <v>CLG</v>
          </cell>
        </row>
        <row r="555">
          <cell r="B555">
            <v>9530</v>
          </cell>
          <cell r="O555" t="str">
            <v>B</v>
          </cell>
          <cell r="P555" t="str">
            <v>定期</v>
          </cell>
          <cell r="R555" t="str">
            <v>VMG</v>
          </cell>
        </row>
        <row r="556">
          <cell r="B556">
            <v>9530</v>
          </cell>
          <cell r="O556" t="str">
            <v>B</v>
          </cell>
          <cell r="P556" t="str">
            <v>定期</v>
          </cell>
          <cell r="R556" t="str">
            <v>VMG</v>
          </cell>
        </row>
        <row r="557">
          <cell r="B557">
            <v>9530</v>
          </cell>
          <cell r="O557" t="str">
            <v>A</v>
          </cell>
          <cell r="P557" t="str">
            <v>定期</v>
          </cell>
          <cell r="R557" t="str">
            <v>MUG</v>
          </cell>
        </row>
        <row r="558">
          <cell r="B558">
            <v>9530</v>
          </cell>
          <cell r="O558" t="str">
            <v>B</v>
          </cell>
          <cell r="P558" t="str">
            <v>日常</v>
          </cell>
          <cell r="R558" t="str">
            <v>自動網差機</v>
          </cell>
        </row>
        <row r="559">
          <cell r="B559">
            <v>9530</v>
          </cell>
          <cell r="O559" t="str">
            <v>B</v>
          </cell>
          <cell r="P559" t="str">
            <v>日常</v>
          </cell>
          <cell r="R559" t="str">
            <v>VLT</v>
          </cell>
        </row>
        <row r="560">
          <cell r="B560">
            <v>9530</v>
          </cell>
          <cell r="O560" t="str">
            <v>A</v>
          </cell>
          <cell r="P560" t="str">
            <v>定期</v>
          </cell>
          <cell r="R560" t="str">
            <v>ﾏｲｸﾛｾﾊﾟﾚｰﾀｰ</v>
          </cell>
        </row>
        <row r="561">
          <cell r="B561">
            <v>9530</v>
          </cell>
          <cell r="O561" t="str">
            <v>A</v>
          </cell>
          <cell r="P561" t="str">
            <v>定期</v>
          </cell>
          <cell r="R561" t="str">
            <v>ﾏｲｸﾛｾﾊﾟﾚｰﾀｰ</v>
          </cell>
        </row>
        <row r="562">
          <cell r="B562">
            <v>9530</v>
          </cell>
          <cell r="O562" t="str">
            <v>A</v>
          </cell>
          <cell r="P562" t="str">
            <v>定期</v>
          </cell>
          <cell r="R562" t="str">
            <v>CLG</v>
          </cell>
        </row>
        <row r="563">
          <cell r="B563">
            <v>9530</v>
          </cell>
          <cell r="O563" t="str">
            <v>A</v>
          </cell>
          <cell r="P563" t="str">
            <v>定期</v>
          </cell>
          <cell r="R563" t="str">
            <v>CLG</v>
          </cell>
        </row>
        <row r="564">
          <cell r="B564">
            <v>9530</v>
          </cell>
          <cell r="O564" t="str">
            <v>B</v>
          </cell>
          <cell r="P564" t="str">
            <v>定期</v>
          </cell>
          <cell r="R564" t="str">
            <v>VMG</v>
          </cell>
        </row>
        <row r="565">
          <cell r="B565">
            <v>9530</v>
          </cell>
          <cell r="O565" t="str">
            <v>B</v>
          </cell>
          <cell r="P565" t="str">
            <v>定期</v>
          </cell>
          <cell r="R565" t="str">
            <v>VMG</v>
          </cell>
        </row>
        <row r="566">
          <cell r="B566">
            <v>9530</v>
          </cell>
          <cell r="O566" t="str">
            <v>A</v>
          </cell>
          <cell r="P566" t="str">
            <v>定期</v>
          </cell>
          <cell r="R566" t="str">
            <v>MUG</v>
          </cell>
        </row>
        <row r="567">
          <cell r="B567">
            <v>9530</v>
          </cell>
          <cell r="O567" t="str">
            <v>B</v>
          </cell>
          <cell r="P567" t="str">
            <v>日常</v>
          </cell>
          <cell r="R567" t="str">
            <v>VLT</v>
          </cell>
        </row>
        <row r="568">
          <cell r="B568">
            <v>9530</v>
          </cell>
          <cell r="O568" t="str">
            <v>B</v>
          </cell>
          <cell r="P568" t="str">
            <v>日常</v>
          </cell>
          <cell r="R568" t="str">
            <v>自動網差機</v>
          </cell>
        </row>
        <row r="569">
          <cell r="B569">
            <v>9530</v>
          </cell>
          <cell r="O569" t="str">
            <v>B</v>
          </cell>
          <cell r="P569" t="str">
            <v>日常</v>
          </cell>
          <cell r="R569" t="str">
            <v>洗浄機</v>
          </cell>
        </row>
        <row r="570">
          <cell r="B570">
            <v>9540</v>
          </cell>
          <cell r="O570" t="str">
            <v>A</v>
          </cell>
          <cell r="P570" t="str">
            <v>定期</v>
          </cell>
          <cell r="R570" t="str">
            <v>ﾏｲｸﾛｾﾊﾟﾚｰﾀｰ</v>
          </cell>
        </row>
        <row r="571">
          <cell r="B571">
            <v>9540</v>
          </cell>
          <cell r="O571" t="str">
            <v>A</v>
          </cell>
          <cell r="P571" t="str">
            <v>定期</v>
          </cell>
          <cell r="R571" t="str">
            <v>ﾏｲｸﾛｾﾊﾟﾚｰﾀｰ</v>
          </cell>
        </row>
        <row r="572">
          <cell r="B572">
            <v>9540</v>
          </cell>
          <cell r="O572" t="str">
            <v>A</v>
          </cell>
          <cell r="P572" t="str">
            <v>定期</v>
          </cell>
          <cell r="R572" t="str">
            <v>ﾏｲｸﾛｾﾊﾟﾚｰﾀｰ</v>
          </cell>
        </row>
        <row r="573">
          <cell r="B573">
            <v>9540</v>
          </cell>
          <cell r="O573" t="str">
            <v>A</v>
          </cell>
          <cell r="P573" t="str">
            <v>定期</v>
          </cell>
          <cell r="R573" t="str">
            <v>ﾏｲｸﾛｾﾊﾟﾚｰﾀｰ</v>
          </cell>
        </row>
        <row r="574">
          <cell r="B574">
            <v>9540</v>
          </cell>
          <cell r="O574" t="str">
            <v>A</v>
          </cell>
          <cell r="P574" t="str">
            <v>定期</v>
          </cell>
          <cell r="R574" t="str">
            <v>ﾏｲｸﾛｾﾊﾟﾚｰﾀｰ</v>
          </cell>
        </row>
        <row r="575">
          <cell r="B575">
            <v>9540</v>
          </cell>
          <cell r="O575" t="str">
            <v>A</v>
          </cell>
          <cell r="P575" t="str">
            <v>定期</v>
          </cell>
          <cell r="R575" t="str">
            <v>CLG</v>
          </cell>
        </row>
        <row r="576">
          <cell r="B576">
            <v>9540</v>
          </cell>
          <cell r="O576" t="str">
            <v>A</v>
          </cell>
          <cell r="P576" t="str">
            <v>定期</v>
          </cell>
          <cell r="R576" t="str">
            <v>CLG</v>
          </cell>
        </row>
        <row r="577">
          <cell r="B577">
            <v>9540</v>
          </cell>
          <cell r="O577" t="str">
            <v>A</v>
          </cell>
          <cell r="P577" t="str">
            <v>定期</v>
          </cell>
          <cell r="R577" t="str">
            <v>MUG</v>
          </cell>
        </row>
        <row r="578">
          <cell r="B578">
            <v>9540</v>
          </cell>
          <cell r="O578" t="str">
            <v>A</v>
          </cell>
          <cell r="P578" t="str">
            <v>定期</v>
          </cell>
          <cell r="R578" t="str">
            <v>MUG</v>
          </cell>
        </row>
        <row r="579">
          <cell r="B579">
            <v>9540</v>
          </cell>
          <cell r="O579" t="str">
            <v>A</v>
          </cell>
          <cell r="P579" t="str">
            <v>定期</v>
          </cell>
          <cell r="R579" t="str">
            <v>MUG</v>
          </cell>
        </row>
        <row r="580">
          <cell r="B580">
            <v>9540</v>
          </cell>
          <cell r="O580" t="str">
            <v>A</v>
          </cell>
          <cell r="P580" t="str">
            <v>定期</v>
          </cell>
          <cell r="R580" t="str">
            <v>MUG</v>
          </cell>
        </row>
        <row r="581">
          <cell r="B581">
            <v>9540</v>
          </cell>
          <cell r="O581" t="str">
            <v>A</v>
          </cell>
          <cell r="P581" t="str">
            <v>定期</v>
          </cell>
          <cell r="R581" t="str">
            <v>MUG</v>
          </cell>
        </row>
        <row r="582">
          <cell r="B582">
            <v>9540</v>
          </cell>
          <cell r="O582" t="str">
            <v>A</v>
          </cell>
          <cell r="P582" t="str">
            <v>定期</v>
          </cell>
          <cell r="R582" t="str">
            <v>MUG</v>
          </cell>
        </row>
        <row r="583">
          <cell r="B583">
            <v>9540</v>
          </cell>
          <cell r="O583" t="str">
            <v>B</v>
          </cell>
          <cell r="P583" t="str">
            <v>日常</v>
          </cell>
          <cell r="R583" t="str">
            <v>自動網差機</v>
          </cell>
        </row>
        <row r="584">
          <cell r="B584">
            <v>9540</v>
          </cell>
          <cell r="O584" t="str">
            <v>A</v>
          </cell>
          <cell r="P584" t="str">
            <v>定期</v>
          </cell>
          <cell r="R584" t="str">
            <v>ﾏｲｸﾛｾﾊﾟﾚｰﾀｰ</v>
          </cell>
        </row>
        <row r="585">
          <cell r="B585">
            <v>9540</v>
          </cell>
          <cell r="O585" t="str">
            <v>A</v>
          </cell>
          <cell r="P585" t="str">
            <v>定期</v>
          </cell>
          <cell r="R585" t="str">
            <v>CLG</v>
          </cell>
        </row>
        <row r="586">
          <cell r="B586">
            <v>9540</v>
          </cell>
          <cell r="O586" t="str">
            <v>A</v>
          </cell>
          <cell r="P586" t="str">
            <v>定期</v>
          </cell>
          <cell r="R586" t="str">
            <v>MUG</v>
          </cell>
        </row>
        <row r="587">
          <cell r="B587">
            <v>9540</v>
          </cell>
          <cell r="O587" t="str">
            <v>A</v>
          </cell>
          <cell r="P587" t="str">
            <v>定期</v>
          </cell>
          <cell r="R587" t="str">
            <v>MUG</v>
          </cell>
        </row>
        <row r="588">
          <cell r="B588">
            <v>9540</v>
          </cell>
          <cell r="O588" t="str">
            <v>A</v>
          </cell>
          <cell r="P588" t="str">
            <v>定期</v>
          </cell>
          <cell r="R588" t="str">
            <v>MUG</v>
          </cell>
        </row>
        <row r="589">
          <cell r="B589">
            <v>9540</v>
          </cell>
          <cell r="O589" t="str">
            <v>A</v>
          </cell>
          <cell r="P589" t="str">
            <v>定期</v>
          </cell>
          <cell r="R589" t="str">
            <v>MUG</v>
          </cell>
        </row>
        <row r="590">
          <cell r="B590">
            <v>9540</v>
          </cell>
          <cell r="O590" t="str">
            <v>A</v>
          </cell>
          <cell r="P590" t="str">
            <v>定期</v>
          </cell>
          <cell r="R590" t="str">
            <v>MUG</v>
          </cell>
        </row>
        <row r="591">
          <cell r="B591">
            <v>9540</v>
          </cell>
          <cell r="O591" t="str">
            <v>A</v>
          </cell>
          <cell r="P591" t="str">
            <v>定期</v>
          </cell>
          <cell r="R591" t="str">
            <v>CLG</v>
          </cell>
        </row>
        <row r="592">
          <cell r="B592">
            <v>9540</v>
          </cell>
          <cell r="O592" t="str">
            <v>B</v>
          </cell>
          <cell r="P592" t="str">
            <v>日常</v>
          </cell>
          <cell r="R592" t="str">
            <v>GIM</v>
          </cell>
        </row>
        <row r="593">
          <cell r="B593">
            <v>9540</v>
          </cell>
          <cell r="O593" t="str">
            <v>B</v>
          </cell>
          <cell r="P593" t="str">
            <v>日常</v>
          </cell>
          <cell r="R593" t="str">
            <v>自動網差機</v>
          </cell>
        </row>
        <row r="594">
          <cell r="B594">
            <v>9540</v>
          </cell>
          <cell r="O594" t="str">
            <v>A</v>
          </cell>
          <cell r="P594" t="str">
            <v>定期</v>
          </cell>
          <cell r="R594" t="str">
            <v>CLG</v>
          </cell>
        </row>
        <row r="595">
          <cell r="B595">
            <v>9540</v>
          </cell>
          <cell r="O595" t="str">
            <v>B</v>
          </cell>
          <cell r="P595" t="str">
            <v>定期</v>
          </cell>
          <cell r="R595" t="str">
            <v>VMG</v>
          </cell>
        </row>
        <row r="596">
          <cell r="B596">
            <v>9540</v>
          </cell>
          <cell r="O596" t="str">
            <v>A</v>
          </cell>
          <cell r="P596" t="str">
            <v>定期</v>
          </cell>
          <cell r="R596" t="str">
            <v>MUG</v>
          </cell>
        </row>
        <row r="597">
          <cell r="B597">
            <v>9540</v>
          </cell>
          <cell r="O597" t="str">
            <v>A</v>
          </cell>
          <cell r="P597" t="str">
            <v>定期</v>
          </cell>
          <cell r="R597" t="str">
            <v>MUG</v>
          </cell>
        </row>
        <row r="598">
          <cell r="B598">
            <v>9540</v>
          </cell>
          <cell r="O598" t="str">
            <v>A</v>
          </cell>
          <cell r="P598" t="str">
            <v>定期</v>
          </cell>
          <cell r="R598" t="str">
            <v>MUG</v>
          </cell>
        </row>
        <row r="599">
          <cell r="B599">
            <v>9540</v>
          </cell>
          <cell r="O599" t="str">
            <v>A</v>
          </cell>
          <cell r="P599" t="str">
            <v>定期</v>
          </cell>
          <cell r="R599" t="str">
            <v>CLG</v>
          </cell>
        </row>
        <row r="600">
          <cell r="B600">
            <v>9540</v>
          </cell>
          <cell r="O600" t="str">
            <v>B</v>
          </cell>
          <cell r="P600" t="str">
            <v>日常</v>
          </cell>
          <cell r="R600" t="str">
            <v>自動網差機</v>
          </cell>
        </row>
        <row r="601">
          <cell r="B601">
            <v>9540</v>
          </cell>
          <cell r="O601" t="str">
            <v>A</v>
          </cell>
          <cell r="P601" t="str">
            <v>定期</v>
          </cell>
          <cell r="R601" t="str">
            <v>CLG</v>
          </cell>
        </row>
        <row r="602">
          <cell r="B602">
            <v>9540</v>
          </cell>
          <cell r="O602" t="str">
            <v>A</v>
          </cell>
          <cell r="P602" t="str">
            <v>定期</v>
          </cell>
          <cell r="R602" t="str">
            <v>CLG</v>
          </cell>
        </row>
        <row r="603">
          <cell r="B603">
            <v>9540</v>
          </cell>
          <cell r="O603" t="str">
            <v>A</v>
          </cell>
          <cell r="P603" t="str">
            <v>定期</v>
          </cell>
          <cell r="R603" t="str">
            <v>MUG</v>
          </cell>
        </row>
        <row r="604">
          <cell r="B604">
            <v>9540</v>
          </cell>
          <cell r="O604" t="str">
            <v>A</v>
          </cell>
          <cell r="P604" t="str">
            <v>定期</v>
          </cell>
          <cell r="R604" t="str">
            <v>MUG</v>
          </cell>
        </row>
        <row r="605">
          <cell r="B605">
            <v>9540</v>
          </cell>
          <cell r="O605" t="str">
            <v>A</v>
          </cell>
          <cell r="P605" t="str">
            <v>定期</v>
          </cell>
          <cell r="R605" t="str">
            <v>MUG</v>
          </cell>
        </row>
        <row r="606">
          <cell r="B606">
            <v>9540</v>
          </cell>
          <cell r="O606" t="str">
            <v>A</v>
          </cell>
          <cell r="P606" t="str">
            <v>定期</v>
          </cell>
          <cell r="R606" t="str">
            <v>MUG</v>
          </cell>
        </row>
        <row r="607">
          <cell r="B607">
            <v>9540</v>
          </cell>
          <cell r="O607" t="str">
            <v>A</v>
          </cell>
          <cell r="P607" t="str">
            <v>定期</v>
          </cell>
          <cell r="R607" t="str">
            <v>MUG</v>
          </cell>
        </row>
        <row r="608">
          <cell r="B608">
            <v>9540</v>
          </cell>
          <cell r="O608" t="str">
            <v>B</v>
          </cell>
          <cell r="P608" t="str">
            <v>日常</v>
          </cell>
          <cell r="R608" t="str">
            <v>VLT</v>
          </cell>
        </row>
        <row r="609">
          <cell r="B609">
            <v>9540</v>
          </cell>
          <cell r="O609" t="str">
            <v>B</v>
          </cell>
          <cell r="P609" t="str">
            <v>日常</v>
          </cell>
          <cell r="R609" t="str">
            <v>自動網差機</v>
          </cell>
        </row>
        <row r="610">
          <cell r="B610">
            <v>9540</v>
          </cell>
          <cell r="O610" t="str">
            <v>A</v>
          </cell>
          <cell r="P610" t="str">
            <v>定期</v>
          </cell>
          <cell r="R610" t="str">
            <v>CLG</v>
          </cell>
        </row>
        <row r="611">
          <cell r="B611">
            <v>9540</v>
          </cell>
          <cell r="O611" t="str">
            <v>A</v>
          </cell>
          <cell r="P611" t="str">
            <v>定期</v>
          </cell>
          <cell r="R611" t="str">
            <v>CLG</v>
          </cell>
        </row>
        <row r="612">
          <cell r="B612">
            <v>9540</v>
          </cell>
          <cell r="O612" t="str">
            <v>A</v>
          </cell>
          <cell r="P612" t="str">
            <v>定期</v>
          </cell>
          <cell r="R612" t="str">
            <v>MUG</v>
          </cell>
        </row>
        <row r="613">
          <cell r="B613">
            <v>9540</v>
          </cell>
          <cell r="O613" t="str">
            <v>A</v>
          </cell>
          <cell r="P613" t="str">
            <v>定期</v>
          </cell>
          <cell r="R613" t="str">
            <v>MUG</v>
          </cell>
        </row>
        <row r="614">
          <cell r="B614">
            <v>9540</v>
          </cell>
          <cell r="O614" t="str">
            <v>A</v>
          </cell>
          <cell r="P614" t="str">
            <v>定期</v>
          </cell>
          <cell r="R614" t="str">
            <v>MUG</v>
          </cell>
        </row>
        <row r="615">
          <cell r="B615">
            <v>9540</v>
          </cell>
          <cell r="O615" t="str">
            <v>A</v>
          </cell>
          <cell r="P615" t="str">
            <v>定期</v>
          </cell>
          <cell r="R615" t="str">
            <v>MUG</v>
          </cell>
        </row>
        <row r="616">
          <cell r="B616">
            <v>9540</v>
          </cell>
          <cell r="O616" t="str">
            <v>A</v>
          </cell>
          <cell r="P616" t="str">
            <v>定期</v>
          </cell>
          <cell r="R616" t="str">
            <v>MUG</v>
          </cell>
        </row>
        <row r="617">
          <cell r="B617">
            <v>9540</v>
          </cell>
          <cell r="O617" t="str">
            <v>B</v>
          </cell>
          <cell r="P617" t="str">
            <v>日常</v>
          </cell>
          <cell r="R617" t="str">
            <v>VLT</v>
          </cell>
        </row>
        <row r="618">
          <cell r="B618">
            <v>9540</v>
          </cell>
          <cell r="O618" t="str">
            <v>B</v>
          </cell>
          <cell r="P618" t="str">
            <v>日常</v>
          </cell>
          <cell r="R618" t="str">
            <v>自動網差機</v>
          </cell>
        </row>
        <row r="619">
          <cell r="B619">
            <v>9550</v>
          </cell>
          <cell r="O619" t="str">
            <v>A</v>
          </cell>
          <cell r="P619" t="str">
            <v>定期</v>
          </cell>
          <cell r="R619" t="str">
            <v>ﾏｲｸﾛｾﾊﾟﾚｰﾀｰ</v>
          </cell>
        </row>
        <row r="622">
          <cell r="B622">
            <v>9550</v>
          </cell>
          <cell r="O622" t="str">
            <v>A</v>
          </cell>
          <cell r="P622" t="str">
            <v>定期</v>
          </cell>
          <cell r="R622" t="str">
            <v>ﾏｲｸﾛｾﾊﾟﾚｰﾀｰ</v>
          </cell>
        </row>
        <row r="623">
          <cell r="B623">
            <v>9550</v>
          </cell>
          <cell r="O623">
            <v>0</v>
          </cell>
          <cell r="P623">
            <v>0</v>
          </cell>
          <cell r="R623" t="str">
            <v>ﾏｸﾞﾈｯﾄｾﾊﾟﾚｰﾀｰ</v>
          </cell>
        </row>
        <row r="624">
          <cell r="B624">
            <v>9550</v>
          </cell>
          <cell r="O624">
            <v>0</v>
          </cell>
          <cell r="P624">
            <v>0</v>
          </cell>
          <cell r="R624" t="str">
            <v>ﾏｸﾞﾈｯﾄｾﾊﾟﾚｰﾀｰ</v>
          </cell>
        </row>
        <row r="625">
          <cell r="B625">
            <v>9550</v>
          </cell>
          <cell r="O625">
            <v>0</v>
          </cell>
          <cell r="P625">
            <v>0</v>
          </cell>
          <cell r="R625" t="str">
            <v>ﾏｸﾞﾈｯﾄｾﾊﾟﾚｰﾀｰ</v>
          </cell>
        </row>
        <row r="626">
          <cell r="B626">
            <v>9550</v>
          </cell>
          <cell r="O626" t="str">
            <v>A</v>
          </cell>
          <cell r="P626" t="str">
            <v>定期</v>
          </cell>
          <cell r="R626" t="str">
            <v>CLG</v>
          </cell>
        </row>
        <row r="627">
          <cell r="B627">
            <v>9550</v>
          </cell>
          <cell r="O627" t="str">
            <v>A</v>
          </cell>
          <cell r="P627" t="str">
            <v>定期</v>
          </cell>
          <cell r="R627" t="str">
            <v>CLG</v>
          </cell>
        </row>
        <row r="628">
          <cell r="B628">
            <v>9550</v>
          </cell>
          <cell r="O628" t="str">
            <v>A</v>
          </cell>
          <cell r="P628" t="str">
            <v>定期</v>
          </cell>
          <cell r="R628" t="str">
            <v>MUG</v>
          </cell>
        </row>
        <row r="629">
          <cell r="B629">
            <v>9550</v>
          </cell>
          <cell r="O629" t="str">
            <v>A</v>
          </cell>
          <cell r="P629" t="str">
            <v>定期</v>
          </cell>
          <cell r="R629" t="str">
            <v>MUG</v>
          </cell>
        </row>
        <row r="630">
          <cell r="B630">
            <v>9550</v>
          </cell>
          <cell r="O630" t="str">
            <v>A</v>
          </cell>
          <cell r="P630" t="str">
            <v>定期</v>
          </cell>
          <cell r="R630" t="str">
            <v>MUG</v>
          </cell>
        </row>
        <row r="631">
          <cell r="B631">
            <v>9550</v>
          </cell>
          <cell r="O631" t="str">
            <v>A</v>
          </cell>
          <cell r="P631" t="str">
            <v>定期</v>
          </cell>
          <cell r="R631" t="str">
            <v>MUG</v>
          </cell>
        </row>
        <row r="632">
          <cell r="B632">
            <v>9550</v>
          </cell>
          <cell r="O632" t="str">
            <v>A</v>
          </cell>
          <cell r="P632" t="str">
            <v>定期</v>
          </cell>
          <cell r="R632" t="str">
            <v>MUG</v>
          </cell>
        </row>
        <row r="633">
          <cell r="B633">
            <v>9550</v>
          </cell>
          <cell r="O633" t="str">
            <v>A</v>
          </cell>
          <cell r="P633" t="str">
            <v>定期</v>
          </cell>
          <cell r="R633" t="str">
            <v>MUG</v>
          </cell>
        </row>
        <row r="634">
          <cell r="B634">
            <v>9550</v>
          </cell>
          <cell r="O634" t="str">
            <v>B</v>
          </cell>
          <cell r="P634" t="str">
            <v>日常</v>
          </cell>
          <cell r="R634" t="str">
            <v>自動網差機</v>
          </cell>
        </row>
        <row r="635">
          <cell r="B635">
            <v>9550</v>
          </cell>
          <cell r="O635" t="str">
            <v>A</v>
          </cell>
          <cell r="P635" t="str">
            <v>定期</v>
          </cell>
          <cell r="R635" t="str">
            <v>ﾏｲｸﾛｾﾊﾟﾚｰﾀｰ</v>
          </cell>
        </row>
        <row r="636">
          <cell r="B636">
            <v>9550</v>
          </cell>
          <cell r="O636" t="str">
            <v>A</v>
          </cell>
          <cell r="P636" t="str">
            <v>定期</v>
          </cell>
          <cell r="R636" t="str">
            <v>CLG</v>
          </cell>
        </row>
        <row r="637">
          <cell r="B637">
            <v>9550</v>
          </cell>
          <cell r="O637" t="str">
            <v>A</v>
          </cell>
          <cell r="P637" t="str">
            <v>定期</v>
          </cell>
          <cell r="R637" t="str">
            <v>MUG</v>
          </cell>
        </row>
        <row r="638">
          <cell r="B638">
            <v>9550</v>
          </cell>
          <cell r="O638" t="str">
            <v>A</v>
          </cell>
          <cell r="P638" t="str">
            <v>定期</v>
          </cell>
          <cell r="R638" t="str">
            <v>MUG</v>
          </cell>
        </row>
        <row r="639">
          <cell r="B639">
            <v>9550</v>
          </cell>
          <cell r="O639" t="str">
            <v>A</v>
          </cell>
          <cell r="P639" t="str">
            <v>定期</v>
          </cell>
          <cell r="R639" t="str">
            <v>MUG</v>
          </cell>
        </row>
        <row r="640">
          <cell r="B640">
            <v>9550</v>
          </cell>
          <cell r="O640" t="str">
            <v>A</v>
          </cell>
          <cell r="P640" t="str">
            <v>定期</v>
          </cell>
          <cell r="R640" t="str">
            <v>MUG</v>
          </cell>
        </row>
        <row r="641">
          <cell r="B641">
            <v>9550</v>
          </cell>
          <cell r="O641" t="str">
            <v>A</v>
          </cell>
          <cell r="P641" t="str">
            <v>定期</v>
          </cell>
          <cell r="R641" t="str">
            <v>MUG</v>
          </cell>
        </row>
        <row r="642">
          <cell r="B642">
            <v>9550</v>
          </cell>
          <cell r="O642" t="str">
            <v>A</v>
          </cell>
          <cell r="P642" t="str">
            <v>定期</v>
          </cell>
          <cell r="R642" t="str">
            <v>CLG</v>
          </cell>
        </row>
        <row r="643">
          <cell r="B643">
            <v>9550</v>
          </cell>
          <cell r="O643" t="str">
            <v>B</v>
          </cell>
          <cell r="P643" t="str">
            <v>日常</v>
          </cell>
          <cell r="R643" t="str">
            <v>自動網差機</v>
          </cell>
        </row>
        <row r="644">
          <cell r="B644">
            <v>9550</v>
          </cell>
          <cell r="O644" t="str">
            <v>A</v>
          </cell>
          <cell r="P644" t="str">
            <v>定期</v>
          </cell>
          <cell r="R644" t="str">
            <v>CLG</v>
          </cell>
        </row>
        <row r="645">
          <cell r="B645">
            <v>9550</v>
          </cell>
          <cell r="O645" t="str">
            <v>A</v>
          </cell>
          <cell r="P645" t="str">
            <v>定期</v>
          </cell>
          <cell r="R645" t="str">
            <v>CLG</v>
          </cell>
        </row>
        <row r="646">
          <cell r="B646">
            <v>9550</v>
          </cell>
          <cell r="O646" t="str">
            <v>A</v>
          </cell>
          <cell r="P646" t="str">
            <v>定期</v>
          </cell>
          <cell r="R646" t="str">
            <v>MUG</v>
          </cell>
        </row>
        <row r="647">
          <cell r="B647">
            <v>9550</v>
          </cell>
          <cell r="O647" t="str">
            <v>A</v>
          </cell>
          <cell r="P647" t="str">
            <v>定期</v>
          </cell>
          <cell r="R647" t="str">
            <v>MUG</v>
          </cell>
        </row>
        <row r="648">
          <cell r="B648">
            <v>9550</v>
          </cell>
          <cell r="O648" t="str">
            <v>A</v>
          </cell>
          <cell r="P648" t="str">
            <v>定期</v>
          </cell>
          <cell r="R648" t="str">
            <v>MUG</v>
          </cell>
        </row>
        <row r="649">
          <cell r="B649">
            <v>9550</v>
          </cell>
          <cell r="O649" t="str">
            <v>A</v>
          </cell>
          <cell r="P649" t="str">
            <v>定期</v>
          </cell>
          <cell r="R649" t="str">
            <v>MUG</v>
          </cell>
        </row>
        <row r="650">
          <cell r="B650">
            <v>9550</v>
          </cell>
          <cell r="O650" t="str">
            <v>B</v>
          </cell>
          <cell r="P650" t="str">
            <v>日常</v>
          </cell>
          <cell r="R650" t="str">
            <v>自動網差機</v>
          </cell>
        </row>
        <row r="651">
          <cell r="B651">
            <v>9550</v>
          </cell>
          <cell r="O651" t="str">
            <v>A</v>
          </cell>
          <cell r="P651" t="str">
            <v>定期</v>
          </cell>
          <cell r="R651" t="str">
            <v>CLG</v>
          </cell>
        </row>
        <row r="652">
          <cell r="B652">
            <v>9550</v>
          </cell>
          <cell r="O652" t="str">
            <v>A</v>
          </cell>
          <cell r="P652" t="str">
            <v>定期</v>
          </cell>
          <cell r="R652" t="str">
            <v>CLG</v>
          </cell>
        </row>
        <row r="653">
          <cell r="B653">
            <v>9550</v>
          </cell>
          <cell r="O653" t="str">
            <v>A</v>
          </cell>
          <cell r="P653" t="str">
            <v>定期</v>
          </cell>
          <cell r="R653" t="str">
            <v>MUG</v>
          </cell>
        </row>
        <row r="654">
          <cell r="B654">
            <v>9550</v>
          </cell>
          <cell r="O654" t="str">
            <v>A</v>
          </cell>
          <cell r="P654" t="str">
            <v>定期</v>
          </cell>
          <cell r="R654" t="str">
            <v>MUG</v>
          </cell>
        </row>
        <row r="655">
          <cell r="B655">
            <v>9550</v>
          </cell>
          <cell r="O655" t="str">
            <v>A</v>
          </cell>
          <cell r="P655" t="str">
            <v>定期</v>
          </cell>
          <cell r="R655" t="str">
            <v>MUG</v>
          </cell>
        </row>
        <row r="656">
          <cell r="B656">
            <v>9550</v>
          </cell>
          <cell r="O656" t="str">
            <v>A</v>
          </cell>
          <cell r="P656" t="str">
            <v>定期</v>
          </cell>
          <cell r="R656" t="str">
            <v>MUG</v>
          </cell>
        </row>
        <row r="657">
          <cell r="B657">
            <v>9550</v>
          </cell>
          <cell r="O657" t="str">
            <v>A</v>
          </cell>
          <cell r="P657" t="str">
            <v>定期</v>
          </cell>
          <cell r="R657" t="str">
            <v>MUG</v>
          </cell>
        </row>
        <row r="658">
          <cell r="B658">
            <v>9550</v>
          </cell>
          <cell r="O658" t="str">
            <v>A</v>
          </cell>
          <cell r="P658" t="str">
            <v>定期</v>
          </cell>
          <cell r="R658" t="str">
            <v>MUG</v>
          </cell>
        </row>
        <row r="659">
          <cell r="B659">
            <v>9550</v>
          </cell>
          <cell r="O659" t="str">
            <v>B</v>
          </cell>
          <cell r="P659" t="str">
            <v>日常</v>
          </cell>
          <cell r="R659" t="str">
            <v>自動網差機</v>
          </cell>
        </row>
        <row r="660">
          <cell r="B660">
            <v>9550</v>
          </cell>
          <cell r="O660" t="str">
            <v>A</v>
          </cell>
          <cell r="P660" t="str">
            <v>定期</v>
          </cell>
          <cell r="R660" t="str">
            <v>CLG</v>
          </cell>
        </row>
        <row r="661">
          <cell r="B661">
            <v>9550</v>
          </cell>
          <cell r="O661" t="str">
            <v>A</v>
          </cell>
          <cell r="P661" t="str">
            <v>定期</v>
          </cell>
          <cell r="R661" t="str">
            <v>MUG</v>
          </cell>
        </row>
        <row r="662">
          <cell r="B662">
            <v>9550</v>
          </cell>
          <cell r="O662" t="str">
            <v>A</v>
          </cell>
          <cell r="P662" t="str">
            <v>定期</v>
          </cell>
          <cell r="R662" t="str">
            <v>MUG</v>
          </cell>
        </row>
        <row r="663">
          <cell r="B663">
            <v>9550</v>
          </cell>
          <cell r="O663" t="str">
            <v>A</v>
          </cell>
          <cell r="P663" t="str">
            <v>定期</v>
          </cell>
          <cell r="R663" t="str">
            <v>MUG</v>
          </cell>
        </row>
        <row r="664">
          <cell r="B664">
            <v>9550</v>
          </cell>
          <cell r="O664" t="str">
            <v>A</v>
          </cell>
          <cell r="P664" t="str">
            <v>定期</v>
          </cell>
          <cell r="R664" t="str">
            <v>MUG</v>
          </cell>
        </row>
        <row r="665">
          <cell r="B665">
            <v>9550</v>
          </cell>
          <cell r="O665" t="str">
            <v>A</v>
          </cell>
          <cell r="P665" t="str">
            <v>定期</v>
          </cell>
          <cell r="R665" t="str">
            <v>MUG</v>
          </cell>
        </row>
        <row r="666">
          <cell r="B666">
            <v>9550</v>
          </cell>
          <cell r="O666" t="str">
            <v>A</v>
          </cell>
          <cell r="P666" t="str">
            <v>定期</v>
          </cell>
          <cell r="R666" t="str">
            <v>MUG</v>
          </cell>
        </row>
        <row r="667">
          <cell r="B667">
            <v>9550</v>
          </cell>
          <cell r="O667" t="str">
            <v>A</v>
          </cell>
          <cell r="P667" t="str">
            <v>定期</v>
          </cell>
          <cell r="R667" t="str">
            <v>CLG</v>
          </cell>
        </row>
        <row r="668">
          <cell r="B668">
            <v>9550</v>
          </cell>
          <cell r="O668" t="str">
            <v>B</v>
          </cell>
          <cell r="P668" t="str">
            <v>日常</v>
          </cell>
          <cell r="R668" t="str">
            <v>自動網差機</v>
          </cell>
        </row>
        <row r="669">
          <cell r="B669">
            <v>9520</v>
          </cell>
          <cell r="O669" t="str">
            <v>A</v>
          </cell>
          <cell r="P669" t="str">
            <v>定期</v>
          </cell>
          <cell r="R669" t="str">
            <v>CLG</v>
          </cell>
        </row>
        <row r="670">
          <cell r="B670">
            <v>9520</v>
          </cell>
          <cell r="O670" t="str">
            <v>A</v>
          </cell>
          <cell r="P670" t="str">
            <v>定期</v>
          </cell>
          <cell r="R670" t="str">
            <v>CLG</v>
          </cell>
        </row>
        <row r="671">
          <cell r="B671">
            <v>9520</v>
          </cell>
          <cell r="O671" t="str">
            <v>A</v>
          </cell>
          <cell r="P671" t="str">
            <v>定期</v>
          </cell>
          <cell r="R671" t="str">
            <v>THG</v>
          </cell>
        </row>
        <row r="672">
          <cell r="B672">
            <v>9520</v>
          </cell>
          <cell r="O672" t="str">
            <v>C</v>
          </cell>
          <cell r="P672" t="str">
            <v>日常</v>
          </cell>
          <cell r="R672" t="str">
            <v>NRG</v>
          </cell>
        </row>
        <row r="673">
          <cell r="B673">
            <v>9570</v>
          </cell>
          <cell r="O673" t="str">
            <v>B</v>
          </cell>
          <cell r="P673" t="str">
            <v>日常</v>
          </cell>
          <cell r="R673" t="str">
            <v>VHT</v>
          </cell>
        </row>
        <row r="674">
          <cell r="B674">
            <v>9570</v>
          </cell>
          <cell r="O674" t="str">
            <v>B</v>
          </cell>
          <cell r="P674" t="str">
            <v>日常</v>
          </cell>
          <cell r="R674" t="str">
            <v>VHT</v>
          </cell>
        </row>
        <row r="675">
          <cell r="B675">
            <v>9570</v>
          </cell>
          <cell r="O675" t="str">
            <v>B</v>
          </cell>
          <cell r="P675" t="str">
            <v>日常</v>
          </cell>
          <cell r="R675" t="str">
            <v>VHT</v>
          </cell>
        </row>
        <row r="676">
          <cell r="B676">
            <v>9570</v>
          </cell>
          <cell r="O676" t="str">
            <v>B</v>
          </cell>
          <cell r="P676" t="str">
            <v>日常</v>
          </cell>
          <cell r="R676" t="str">
            <v>VHT</v>
          </cell>
        </row>
        <row r="677">
          <cell r="B677">
            <v>9570</v>
          </cell>
          <cell r="O677" t="str">
            <v>B</v>
          </cell>
          <cell r="P677" t="str">
            <v>日常</v>
          </cell>
          <cell r="R677" t="str">
            <v>VHT</v>
          </cell>
        </row>
        <row r="678">
          <cell r="B678">
            <v>9570</v>
          </cell>
          <cell r="O678" t="str">
            <v>B</v>
          </cell>
          <cell r="P678" t="str">
            <v>日常</v>
          </cell>
          <cell r="R678" t="str">
            <v>VHT</v>
          </cell>
        </row>
        <row r="679">
          <cell r="B679">
            <v>9570</v>
          </cell>
          <cell r="O679" t="str">
            <v>C</v>
          </cell>
          <cell r="P679" t="str">
            <v>日常</v>
          </cell>
          <cell r="R679" t="str">
            <v>NC-VHT</v>
          </cell>
        </row>
        <row r="680">
          <cell r="B680">
            <v>9570</v>
          </cell>
          <cell r="O680" t="str">
            <v>C</v>
          </cell>
          <cell r="P680" t="str">
            <v>日常</v>
          </cell>
          <cell r="R680" t="str">
            <v>NC-VHT</v>
          </cell>
        </row>
        <row r="681">
          <cell r="B681">
            <v>9590</v>
          </cell>
          <cell r="O681" t="str">
            <v>B</v>
          </cell>
          <cell r="P681" t="str">
            <v>日常</v>
          </cell>
          <cell r="R681" t="str">
            <v>ｶﾞﾝﾄﾞﾘﾙﾏｼﾝ</v>
          </cell>
        </row>
        <row r="682">
          <cell r="B682">
            <v>9590</v>
          </cell>
          <cell r="O682" t="str">
            <v>B</v>
          </cell>
          <cell r="P682" t="str">
            <v>日常</v>
          </cell>
          <cell r="R682" t="str">
            <v>ｶﾞﾝﾄﾞﾘﾙﾏｼﾝ</v>
          </cell>
        </row>
        <row r="683">
          <cell r="B683">
            <v>9590</v>
          </cell>
          <cell r="O683" t="str">
            <v>B</v>
          </cell>
          <cell r="P683" t="str">
            <v>日常</v>
          </cell>
          <cell r="R683" t="str">
            <v>ｶﾞﾝﾄﾞﾘﾙﾏｼﾝ</v>
          </cell>
        </row>
        <row r="684">
          <cell r="B684">
            <v>9590</v>
          </cell>
          <cell r="O684" t="str">
            <v>B</v>
          </cell>
          <cell r="P684" t="str">
            <v>日常</v>
          </cell>
          <cell r="R684" t="str">
            <v>VHT</v>
          </cell>
        </row>
        <row r="685">
          <cell r="B685">
            <v>9590</v>
          </cell>
          <cell r="O685" t="str">
            <v>B</v>
          </cell>
          <cell r="P685" t="str">
            <v>日常</v>
          </cell>
          <cell r="R685" t="str">
            <v>VEC</v>
          </cell>
        </row>
        <row r="686">
          <cell r="B686">
            <v>9590</v>
          </cell>
          <cell r="O686" t="str">
            <v>B</v>
          </cell>
          <cell r="P686" t="str">
            <v>日常</v>
          </cell>
          <cell r="R686" t="str">
            <v>ｶﾞﾝﾄﾞﾘﾙﾏｼﾝ</v>
          </cell>
        </row>
        <row r="687">
          <cell r="B687">
            <v>9590</v>
          </cell>
          <cell r="O687" t="str">
            <v>B</v>
          </cell>
          <cell r="P687" t="str">
            <v>日常</v>
          </cell>
          <cell r="R687" t="str">
            <v>ｶﾞﾝﾄﾞﾘﾙﾏｼﾝ</v>
          </cell>
        </row>
        <row r="688">
          <cell r="B688">
            <v>9590</v>
          </cell>
          <cell r="O688" t="str">
            <v>B</v>
          </cell>
          <cell r="P688" t="str">
            <v>日常</v>
          </cell>
          <cell r="R688" t="str">
            <v>ｶﾞﾝﾄﾞﾘﾙﾏｼﾝ</v>
          </cell>
        </row>
        <row r="689">
          <cell r="B689">
            <v>9590</v>
          </cell>
          <cell r="O689" t="str">
            <v>A</v>
          </cell>
          <cell r="P689" t="str">
            <v>定期</v>
          </cell>
          <cell r="R689" t="str">
            <v>摩擦溶接機</v>
          </cell>
        </row>
        <row r="690">
          <cell r="B690">
            <v>9590</v>
          </cell>
          <cell r="O690" t="str">
            <v>A</v>
          </cell>
          <cell r="P690" t="str">
            <v>定期</v>
          </cell>
          <cell r="R690" t="str">
            <v>摩擦溶接機</v>
          </cell>
        </row>
        <row r="691">
          <cell r="B691">
            <v>9590</v>
          </cell>
          <cell r="O691" t="str">
            <v>B</v>
          </cell>
          <cell r="P691" t="str">
            <v>日常</v>
          </cell>
          <cell r="R691" t="str">
            <v>洗浄機</v>
          </cell>
        </row>
        <row r="692">
          <cell r="B692">
            <v>9590</v>
          </cell>
          <cell r="O692" t="str">
            <v>B</v>
          </cell>
          <cell r="P692" t="str">
            <v>日常</v>
          </cell>
          <cell r="R692" t="str">
            <v>洗浄機</v>
          </cell>
        </row>
        <row r="693">
          <cell r="B693">
            <v>9590</v>
          </cell>
          <cell r="O693" t="str">
            <v>B</v>
          </cell>
          <cell r="P693" t="str">
            <v>日常</v>
          </cell>
          <cell r="R693" t="str">
            <v>ﾅﾄﾘｳﾑ封入機</v>
          </cell>
        </row>
        <row r="694">
          <cell r="B694">
            <v>9590</v>
          </cell>
          <cell r="O694" t="str">
            <v>B</v>
          </cell>
          <cell r="P694" t="str">
            <v>日常</v>
          </cell>
          <cell r="R694" t="str">
            <v>ﾅﾄﾘｳﾑ封入機</v>
          </cell>
        </row>
        <row r="695">
          <cell r="B695">
            <v>9610</v>
          </cell>
          <cell r="O695" t="str">
            <v>A</v>
          </cell>
          <cell r="P695" t="str">
            <v>定期</v>
          </cell>
          <cell r="R695" t="str">
            <v>珪藻土濾過装置</v>
          </cell>
        </row>
        <row r="696">
          <cell r="B696">
            <v>9610</v>
          </cell>
          <cell r="O696" t="str">
            <v>A</v>
          </cell>
          <cell r="P696" t="str">
            <v>定期</v>
          </cell>
          <cell r="R696" t="str">
            <v>VHG</v>
          </cell>
        </row>
        <row r="697">
          <cell r="B697">
            <v>9610</v>
          </cell>
          <cell r="O697" t="str">
            <v>A</v>
          </cell>
          <cell r="P697" t="str">
            <v>定期</v>
          </cell>
          <cell r="R697" t="str">
            <v>VHG</v>
          </cell>
        </row>
        <row r="698">
          <cell r="B698">
            <v>9610</v>
          </cell>
          <cell r="O698" t="str">
            <v>B</v>
          </cell>
          <cell r="P698" t="str">
            <v>日常</v>
          </cell>
          <cell r="R698" t="str">
            <v>APR</v>
          </cell>
        </row>
        <row r="699">
          <cell r="B699">
            <v>9610</v>
          </cell>
          <cell r="O699" t="str">
            <v>B</v>
          </cell>
          <cell r="P699" t="str">
            <v>日常</v>
          </cell>
          <cell r="R699" t="str">
            <v>VPC</v>
          </cell>
        </row>
        <row r="700">
          <cell r="B700">
            <v>9610</v>
          </cell>
          <cell r="O700" t="str">
            <v>B</v>
          </cell>
          <cell r="P700" t="str">
            <v>日常</v>
          </cell>
          <cell r="R700" t="str">
            <v>VST</v>
          </cell>
        </row>
        <row r="701">
          <cell r="B701">
            <v>9610</v>
          </cell>
          <cell r="O701" t="str">
            <v>B</v>
          </cell>
          <cell r="P701" t="str">
            <v>日常</v>
          </cell>
          <cell r="R701" t="str">
            <v>洗浄機</v>
          </cell>
        </row>
        <row r="702">
          <cell r="B702">
            <v>9610</v>
          </cell>
          <cell r="O702" t="str">
            <v>A</v>
          </cell>
          <cell r="P702" t="str">
            <v>定期</v>
          </cell>
          <cell r="R702" t="str">
            <v>VHG</v>
          </cell>
        </row>
        <row r="703">
          <cell r="B703">
            <v>9610</v>
          </cell>
          <cell r="O703" t="str">
            <v>A</v>
          </cell>
          <cell r="P703" t="str">
            <v>定期</v>
          </cell>
          <cell r="R703" t="str">
            <v>VHG</v>
          </cell>
        </row>
        <row r="704">
          <cell r="B704">
            <v>9610</v>
          </cell>
          <cell r="O704" t="str">
            <v>B</v>
          </cell>
          <cell r="P704" t="str">
            <v>日常</v>
          </cell>
          <cell r="R704" t="str">
            <v>APR</v>
          </cell>
        </row>
        <row r="705">
          <cell r="B705">
            <v>9610</v>
          </cell>
          <cell r="O705" t="str">
            <v>B</v>
          </cell>
          <cell r="P705" t="str">
            <v>日常</v>
          </cell>
          <cell r="R705" t="str">
            <v>VPC</v>
          </cell>
        </row>
        <row r="706">
          <cell r="B706">
            <v>9610</v>
          </cell>
          <cell r="O706" t="str">
            <v>B</v>
          </cell>
          <cell r="P706" t="str">
            <v>日常</v>
          </cell>
          <cell r="R706" t="str">
            <v>VLT</v>
          </cell>
        </row>
        <row r="707">
          <cell r="B707">
            <v>9610</v>
          </cell>
          <cell r="O707" t="str">
            <v>B</v>
          </cell>
          <cell r="P707" t="str">
            <v>日常</v>
          </cell>
          <cell r="R707" t="str">
            <v>VEG</v>
          </cell>
        </row>
        <row r="708">
          <cell r="B708">
            <v>9610</v>
          </cell>
          <cell r="O708" t="str">
            <v>A</v>
          </cell>
          <cell r="P708" t="str">
            <v>定期</v>
          </cell>
          <cell r="R708" t="str">
            <v>VHG</v>
          </cell>
        </row>
        <row r="709">
          <cell r="B709">
            <v>9610</v>
          </cell>
          <cell r="O709" t="str">
            <v>A</v>
          </cell>
          <cell r="P709" t="str">
            <v>定期</v>
          </cell>
          <cell r="R709" t="str">
            <v>VHG</v>
          </cell>
        </row>
        <row r="710">
          <cell r="B710" t="str">
            <v>9610</v>
          </cell>
          <cell r="O710" t="str">
            <v>B</v>
          </cell>
          <cell r="P710" t="str">
            <v>日常</v>
          </cell>
        </row>
        <row r="711">
          <cell r="B711">
            <v>9610</v>
          </cell>
          <cell r="O711" t="str">
            <v>B</v>
          </cell>
          <cell r="P711" t="str">
            <v>日常</v>
          </cell>
          <cell r="R711" t="str">
            <v>APR</v>
          </cell>
        </row>
        <row r="712">
          <cell r="B712">
            <v>9610</v>
          </cell>
          <cell r="O712" t="str">
            <v>B</v>
          </cell>
          <cell r="P712" t="str">
            <v>日常</v>
          </cell>
          <cell r="R712" t="str">
            <v>VPC</v>
          </cell>
        </row>
        <row r="713">
          <cell r="B713">
            <v>9610</v>
          </cell>
          <cell r="O713" t="str">
            <v>A</v>
          </cell>
          <cell r="P713" t="str">
            <v>定期</v>
          </cell>
          <cell r="R713" t="str">
            <v>RFH</v>
          </cell>
        </row>
        <row r="714">
          <cell r="B714">
            <v>9610</v>
          </cell>
          <cell r="O714" t="str">
            <v>B</v>
          </cell>
          <cell r="P714" t="str">
            <v>日常</v>
          </cell>
          <cell r="R714" t="str">
            <v>VEG</v>
          </cell>
        </row>
        <row r="715">
          <cell r="B715">
            <v>9610</v>
          </cell>
          <cell r="O715" t="str">
            <v>A</v>
          </cell>
          <cell r="P715" t="str">
            <v>定期</v>
          </cell>
          <cell r="R715" t="str">
            <v>VHG</v>
          </cell>
        </row>
        <row r="716">
          <cell r="B716">
            <v>9610</v>
          </cell>
          <cell r="O716" t="str">
            <v>A</v>
          </cell>
          <cell r="P716" t="str">
            <v>定期</v>
          </cell>
          <cell r="R716" t="str">
            <v>VHG</v>
          </cell>
        </row>
        <row r="717">
          <cell r="B717">
            <v>9610</v>
          </cell>
          <cell r="O717" t="str">
            <v>B</v>
          </cell>
          <cell r="P717" t="str">
            <v>日常</v>
          </cell>
          <cell r="R717" t="str">
            <v>APR</v>
          </cell>
        </row>
        <row r="718">
          <cell r="B718">
            <v>9610</v>
          </cell>
          <cell r="O718" t="str">
            <v>B</v>
          </cell>
          <cell r="P718" t="str">
            <v>日常</v>
          </cell>
          <cell r="R718" t="str">
            <v>VPC</v>
          </cell>
        </row>
        <row r="719">
          <cell r="B719">
            <v>9610</v>
          </cell>
          <cell r="O719" t="str">
            <v>B</v>
          </cell>
          <cell r="P719" t="str">
            <v>日常</v>
          </cell>
          <cell r="R719" t="str">
            <v>VLT</v>
          </cell>
        </row>
        <row r="720">
          <cell r="B720">
            <v>9610</v>
          </cell>
          <cell r="O720" t="str">
            <v>A</v>
          </cell>
          <cell r="P720" t="str">
            <v>定期</v>
          </cell>
          <cell r="R720" t="str">
            <v>RFH</v>
          </cell>
        </row>
        <row r="721">
          <cell r="B721">
            <v>9610</v>
          </cell>
          <cell r="O721" t="str">
            <v>B</v>
          </cell>
          <cell r="P721" t="str">
            <v>日常</v>
          </cell>
          <cell r="R721" t="str">
            <v>洗浄機</v>
          </cell>
        </row>
        <row r="722">
          <cell r="B722">
            <v>9610</v>
          </cell>
          <cell r="O722" t="str">
            <v>A</v>
          </cell>
          <cell r="P722" t="str">
            <v>定期</v>
          </cell>
          <cell r="R722" t="str">
            <v>VHG</v>
          </cell>
        </row>
        <row r="723">
          <cell r="B723">
            <v>9610</v>
          </cell>
          <cell r="O723" t="str">
            <v>A</v>
          </cell>
          <cell r="P723" t="str">
            <v>定期</v>
          </cell>
          <cell r="R723" t="str">
            <v>VHG</v>
          </cell>
        </row>
        <row r="724">
          <cell r="B724">
            <v>9610</v>
          </cell>
          <cell r="O724" t="str">
            <v>B</v>
          </cell>
          <cell r="P724" t="str">
            <v>日常</v>
          </cell>
          <cell r="R724" t="str">
            <v>VEG</v>
          </cell>
        </row>
        <row r="725">
          <cell r="B725">
            <v>9610</v>
          </cell>
          <cell r="O725" t="str">
            <v>B</v>
          </cell>
          <cell r="P725" t="str">
            <v>日常</v>
          </cell>
          <cell r="R725" t="str">
            <v>VLT</v>
          </cell>
        </row>
        <row r="726">
          <cell r="B726">
            <v>9610</v>
          </cell>
          <cell r="O726" t="str">
            <v>B</v>
          </cell>
          <cell r="P726" t="str">
            <v>日常</v>
          </cell>
          <cell r="R726" t="str">
            <v>VPC</v>
          </cell>
        </row>
        <row r="727">
          <cell r="B727">
            <v>9610</v>
          </cell>
          <cell r="O727" t="str">
            <v>B</v>
          </cell>
          <cell r="P727" t="str">
            <v>日常</v>
          </cell>
          <cell r="R727" t="str">
            <v>APR</v>
          </cell>
        </row>
        <row r="728">
          <cell r="B728">
            <v>9610</v>
          </cell>
          <cell r="O728" t="str">
            <v>A</v>
          </cell>
          <cell r="P728" t="str">
            <v>定期</v>
          </cell>
          <cell r="R728" t="str">
            <v>RFH</v>
          </cell>
        </row>
        <row r="729">
          <cell r="B729">
            <v>9610</v>
          </cell>
          <cell r="O729" t="str">
            <v>B</v>
          </cell>
          <cell r="P729" t="str">
            <v>日常</v>
          </cell>
          <cell r="R729" t="str">
            <v>洗浄機</v>
          </cell>
        </row>
        <row r="730">
          <cell r="B730">
            <v>9620</v>
          </cell>
          <cell r="O730" t="str">
            <v>A</v>
          </cell>
          <cell r="P730" t="str">
            <v>定期</v>
          </cell>
          <cell r="R730" t="str">
            <v>珪藻土濾過装置</v>
          </cell>
        </row>
        <row r="731">
          <cell r="B731">
            <v>9620</v>
          </cell>
          <cell r="O731" t="str">
            <v>A</v>
          </cell>
          <cell r="P731" t="str">
            <v>定期</v>
          </cell>
          <cell r="R731" t="str">
            <v>ﾏｲｸﾛｾﾊﾟﾚｰﾀｰ</v>
          </cell>
        </row>
        <row r="733">
          <cell r="B733">
            <v>9620</v>
          </cell>
          <cell r="O733" t="str">
            <v>B</v>
          </cell>
          <cell r="P733" t="str">
            <v>日常</v>
          </cell>
          <cell r="R733" t="str">
            <v>VEG</v>
          </cell>
        </row>
        <row r="734">
          <cell r="B734">
            <v>9620</v>
          </cell>
          <cell r="O734" t="str">
            <v>A</v>
          </cell>
          <cell r="P734" t="str">
            <v>定期</v>
          </cell>
          <cell r="R734" t="str">
            <v>VHG</v>
          </cell>
        </row>
        <row r="735">
          <cell r="B735">
            <v>9620</v>
          </cell>
          <cell r="O735" t="str">
            <v>A</v>
          </cell>
          <cell r="P735" t="str">
            <v>定期</v>
          </cell>
          <cell r="R735" t="str">
            <v>VHG</v>
          </cell>
        </row>
        <row r="736">
          <cell r="B736">
            <v>9620</v>
          </cell>
          <cell r="O736" t="str">
            <v>B</v>
          </cell>
          <cell r="P736" t="str">
            <v>日常</v>
          </cell>
          <cell r="R736" t="str">
            <v>VEG</v>
          </cell>
        </row>
        <row r="737">
          <cell r="B737">
            <v>9620</v>
          </cell>
          <cell r="O737" t="str">
            <v>B</v>
          </cell>
          <cell r="P737" t="str">
            <v>日常</v>
          </cell>
          <cell r="R737" t="str">
            <v>VLT</v>
          </cell>
        </row>
        <row r="738">
          <cell r="B738">
            <v>9620</v>
          </cell>
          <cell r="O738" t="str">
            <v>B</v>
          </cell>
          <cell r="P738" t="str">
            <v>日常</v>
          </cell>
          <cell r="R738" t="str">
            <v>APR</v>
          </cell>
        </row>
        <row r="739">
          <cell r="B739">
            <v>9620</v>
          </cell>
          <cell r="O739" t="str">
            <v>A</v>
          </cell>
          <cell r="P739" t="str">
            <v>定期</v>
          </cell>
          <cell r="R739" t="str">
            <v>RFH</v>
          </cell>
        </row>
        <row r="740">
          <cell r="B740">
            <v>9620</v>
          </cell>
          <cell r="O740" t="str">
            <v>B</v>
          </cell>
          <cell r="P740" t="str">
            <v>日常</v>
          </cell>
          <cell r="R740" t="str">
            <v>洗浄機</v>
          </cell>
        </row>
        <row r="742">
          <cell r="B742">
            <v>9620</v>
          </cell>
          <cell r="O742" t="str">
            <v>B</v>
          </cell>
          <cell r="P742" t="str">
            <v>日常</v>
          </cell>
          <cell r="R742" t="str">
            <v>VEG</v>
          </cell>
        </row>
        <row r="743">
          <cell r="B743">
            <v>9620</v>
          </cell>
          <cell r="O743" t="str">
            <v>A</v>
          </cell>
          <cell r="P743" t="str">
            <v>定期</v>
          </cell>
          <cell r="R743" t="str">
            <v>VHG</v>
          </cell>
        </row>
        <row r="744">
          <cell r="B744">
            <v>9620</v>
          </cell>
          <cell r="O744" t="str">
            <v>A</v>
          </cell>
          <cell r="P744" t="str">
            <v>定期</v>
          </cell>
          <cell r="R744" t="str">
            <v>VHG</v>
          </cell>
        </row>
        <row r="745">
          <cell r="B745">
            <v>9620</v>
          </cell>
          <cell r="O745" t="str">
            <v>B</v>
          </cell>
          <cell r="P745" t="str">
            <v>日常</v>
          </cell>
          <cell r="R745" t="str">
            <v>VLT</v>
          </cell>
        </row>
        <row r="746">
          <cell r="B746">
            <v>9620</v>
          </cell>
          <cell r="O746" t="str">
            <v>B</v>
          </cell>
          <cell r="P746" t="str">
            <v>日常</v>
          </cell>
          <cell r="R746" t="str">
            <v>APR</v>
          </cell>
        </row>
        <row r="747">
          <cell r="B747">
            <v>9620</v>
          </cell>
          <cell r="O747" t="str">
            <v>B</v>
          </cell>
          <cell r="P747" t="str">
            <v>日常</v>
          </cell>
          <cell r="R747" t="str">
            <v>洗浄機</v>
          </cell>
        </row>
        <row r="748">
          <cell r="B748">
            <v>9620</v>
          </cell>
          <cell r="O748" t="str">
            <v>A</v>
          </cell>
          <cell r="P748" t="str">
            <v>定期</v>
          </cell>
          <cell r="R748" t="str">
            <v>RFH</v>
          </cell>
        </row>
        <row r="749">
          <cell r="B749">
            <v>9620</v>
          </cell>
          <cell r="O749" t="str">
            <v>A</v>
          </cell>
          <cell r="P749" t="str">
            <v>定期</v>
          </cell>
          <cell r="R749" t="str">
            <v>CLG</v>
          </cell>
        </row>
        <row r="750">
          <cell r="B750">
            <v>9620</v>
          </cell>
          <cell r="O750" t="str">
            <v>A</v>
          </cell>
          <cell r="P750" t="str">
            <v>定期</v>
          </cell>
          <cell r="R750" t="str">
            <v>VHG</v>
          </cell>
        </row>
        <row r="751">
          <cell r="B751">
            <v>9620</v>
          </cell>
          <cell r="O751" t="str">
            <v>A</v>
          </cell>
          <cell r="P751" t="str">
            <v>定期</v>
          </cell>
          <cell r="R751" t="str">
            <v>VHG</v>
          </cell>
        </row>
        <row r="752">
          <cell r="B752">
            <v>9620</v>
          </cell>
          <cell r="O752" t="str">
            <v>B</v>
          </cell>
          <cell r="P752" t="str">
            <v>日常</v>
          </cell>
          <cell r="R752" t="str">
            <v>VLT</v>
          </cell>
        </row>
        <row r="753">
          <cell r="B753">
            <v>9620</v>
          </cell>
          <cell r="O753" t="str">
            <v>B</v>
          </cell>
          <cell r="P753" t="str">
            <v>日常</v>
          </cell>
          <cell r="R753" t="str">
            <v>APR</v>
          </cell>
        </row>
        <row r="754">
          <cell r="B754">
            <v>9620</v>
          </cell>
          <cell r="O754" t="str">
            <v>B</v>
          </cell>
          <cell r="P754" t="str">
            <v>日常</v>
          </cell>
          <cell r="R754" t="str">
            <v>洗浄機</v>
          </cell>
        </row>
        <row r="756">
          <cell r="B756">
            <v>9620</v>
          </cell>
          <cell r="O756" t="str">
            <v>A</v>
          </cell>
          <cell r="P756" t="str">
            <v>定期</v>
          </cell>
          <cell r="R756" t="str">
            <v>CLG</v>
          </cell>
        </row>
        <row r="757">
          <cell r="B757">
            <v>9620</v>
          </cell>
          <cell r="O757" t="str">
            <v>A</v>
          </cell>
          <cell r="P757" t="str">
            <v>定期</v>
          </cell>
          <cell r="R757" t="str">
            <v>VHG</v>
          </cell>
        </row>
        <row r="758">
          <cell r="B758">
            <v>9620</v>
          </cell>
          <cell r="O758" t="str">
            <v>A</v>
          </cell>
          <cell r="P758" t="str">
            <v>定期</v>
          </cell>
          <cell r="R758" t="str">
            <v>VHG</v>
          </cell>
        </row>
        <row r="759">
          <cell r="B759">
            <v>9620</v>
          </cell>
          <cell r="O759" t="str">
            <v>B</v>
          </cell>
          <cell r="P759" t="str">
            <v>日常</v>
          </cell>
          <cell r="R759" t="str">
            <v>VLT</v>
          </cell>
        </row>
        <row r="760">
          <cell r="B760">
            <v>9620</v>
          </cell>
          <cell r="O760" t="str">
            <v>B</v>
          </cell>
          <cell r="P760" t="str">
            <v>日常</v>
          </cell>
          <cell r="R760" t="str">
            <v>APR</v>
          </cell>
        </row>
        <row r="761">
          <cell r="B761">
            <v>9620</v>
          </cell>
          <cell r="O761" t="str">
            <v>B</v>
          </cell>
          <cell r="P761" t="str">
            <v>日常</v>
          </cell>
          <cell r="R761" t="str">
            <v>洗浄機</v>
          </cell>
        </row>
        <row r="762">
          <cell r="B762">
            <v>9620</v>
          </cell>
          <cell r="O762" t="str">
            <v>A</v>
          </cell>
          <cell r="P762" t="str">
            <v>定期</v>
          </cell>
          <cell r="R762" t="str">
            <v>CLG</v>
          </cell>
        </row>
        <row r="763">
          <cell r="B763">
            <v>9620</v>
          </cell>
          <cell r="O763" t="str">
            <v>A</v>
          </cell>
          <cell r="P763" t="str">
            <v>定期</v>
          </cell>
          <cell r="R763" t="str">
            <v>VHG</v>
          </cell>
        </row>
        <row r="764">
          <cell r="B764">
            <v>9620</v>
          </cell>
          <cell r="O764" t="str">
            <v>A</v>
          </cell>
          <cell r="P764" t="str">
            <v>定期</v>
          </cell>
          <cell r="R764" t="str">
            <v>VHG</v>
          </cell>
        </row>
        <row r="765">
          <cell r="B765">
            <v>9620</v>
          </cell>
          <cell r="O765" t="str">
            <v>B</v>
          </cell>
          <cell r="P765" t="str">
            <v>日常</v>
          </cell>
          <cell r="R765" t="str">
            <v>VLT</v>
          </cell>
        </row>
        <row r="766">
          <cell r="B766">
            <v>9620</v>
          </cell>
          <cell r="O766" t="str">
            <v>B</v>
          </cell>
          <cell r="P766" t="str">
            <v>日常</v>
          </cell>
          <cell r="R766" t="str">
            <v>洗浄機</v>
          </cell>
        </row>
        <row r="767">
          <cell r="B767">
            <v>9620</v>
          </cell>
          <cell r="O767" t="str">
            <v>A</v>
          </cell>
          <cell r="P767" t="str">
            <v>定期</v>
          </cell>
          <cell r="R767" t="str">
            <v>MUG</v>
          </cell>
        </row>
        <row r="768">
          <cell r="B768">
            <v>9620</v>
          </cell>
          <cell r="O768" t="str">
            <v>A</v>
          </cell>
          <cell r="P768" t="str">
            <v>定期</v>
          </cell>
          <cell r="R768" t="str">
            <v>MUG</v>
          </cell>
        </row>
        <row r="769">
          <cell r="B769">
            <v>9620</v>
          </cell>
          <cell r="O769" t="str">
            <v>B</v>
          </cell>
          <cell r="P769" t="str">
            <v>日常</v>
          </cell>
          <cell r="R769" t="str">
            <v>VLT</v>
          </cell>
        </row>
        <row r="770">
          <cell r="B770">
            <v>9620</v>
          </cell>
          <cell r="O770" t="str">
            <v>B</v>
          </cell>
          <cell r="P770" t="str">
            <v>日常</v>
          </cell>
          <cell r="R770" t="str">
            <v>APR</v>
          </cell>
        </row>
        <row r="771">
          <cell r="B771">
            <v>9620</v>
          </cell>
          <cell r="O771" t="str">
            <v>B</v>
          </cell>
          <cell r="P771" t="str">
            <v>日常</v>
          </cell>
          <cell r="R771" t="str">
            <v>洗浄機</v>
          </cell>
        </row>
        <row r="774">
          <cell r="B774">
            <v>9630</v>
          </cell>
          <cell r="O774" t="str">
            <v>A</v>
          </cell>
          <cell r="P774" t="str">
            <v>定期</v>
          </cell>
          <cell r="R774" t="str">
            <v>珪藻土濾過装置</v>
          </cell>
        </row>
        <row r="775">
          <cell r="B775">
            <v>9630</v>
          </cell>
          <cell r="O775" t="str">
            <v>A</v>
          </cell>
          <cell r="P775" t="str">
            <v>定期</v>
          </cell>
          <cell r="R775" t="str">
            <v>CLG</v>
          </cell>
        </row>
        <row r="776">
          <cell r="B776">
            <v>9630</v>
          </cell>
          <cell r="O776" t="str">
            <v>A</v>
          </cell>
          <cell r="P776" t="str">
            <v>定期</v>
          </cell>
          <cell r="R776" t="str">
            <v>VHG</v>
          </cell>
        </row>
        <row r="777">
          <cell r="B777">
            <v>9630</v>
          </cell>
          <cell r="O777" t="str">
            <v>A</v>
          </cell>
          <cell r="P777" t="str">
            <v>定期</v>
          </cell>
          <cell r="R777" t="str">
            <v>VHG</v>
          </cell>
        </row>
        <row r="778">
          <cell r="B778">
            <v>9630</v>
          </cell>
          <cell r="O778" t="str">
            <v>B</v>
          </cell>
          <cell r="P778" t="str">
            <v>日常</v>
          </cell>
          <cell r="R778" t="str">
            <v>VLT</v>
          </cell>
        </row>
        <row r="779">
          <cell r="B779">
            <v>9630</v>
          </cell>
          <cell r="O779" t="str">
            <v>B</v>
          </cell>
          <cell r="P779" t="str">
            <v>日常</v>
          </cell>
          <cell r="R779" t="str">
            <v>VPC</v>
          </cell>
        </row>
        <row r="780">
          <cell r="B780">
            <v>9630</v>
          </cell>
          <cell r="O780" t="str">
            <v>B</v>
          </cell>
          <cell r="P780" t="str">
            <v>日常</v>
          </cell>
          <cell r="R780" t="str">
            <v>APR</v>
          </cell>
        </row>
        <row r="781">
          <cell r="B781">
            <v>9630</v>
          </cell>
          <cell r="O781" t="str">
            <v>B</v>
          </cell>
          <cell r="P781" t="str">
            <v>日常</v>
          </cell>
          <cell r="R781" t="str">
            <v>洗浄機</v>
          </cell>
        </row>
        <row r="782">
          <cell r="B782">
            <v>9630</v>
          </cell>
          <cell r="O782" t="str">
            <v>A</v>
          </cell>
          <cell r="P782" t="str">
            <v>定期</v>
          </cell>
          <cell r="R782" t="str">
            <v>CLG</v>
          </cell>
        </row>
        <row r="783">
          <cell r="B783">
            <v>9630</v>
          </cell>
          <cell r="O783" t="str">
            <v>A</v>
          </cell>
          <cell r="P783" t="str">
            <v>定期</v>
          </cell>
          <cell r="R783" t="str">
            <v>VHG</v>
          </cell>
        </row>
        <row r="784">
          <cell r="B784">
            <v>9630</v>
          </cell>
          <cell r="O784" t="str">
            <v>A</v>
          </cell>
          <cell r="P784" t="str">
            <v>定期</v>
          </cell>
          <cell r="R784" t="str">
            <v>VHG</v>
          </cell>
        </row>
        <row r="785">
          <cell r="B785">
            <v>9630</v>
          </cell>
          <cell r="O785" t="str">
            <v>B</v>
          </cell>
          <cell r="P785" t="str">
            <v>日常</v>
          </cell>
          <cell r="R785" t="str">
            <v>VLT</v>
          </cell>
        </row>
        <row r="786">
          <cell r="B786">
            <v>9630</v>
          </cell>
          <cell r="O786" t="str">
            <v>B</v>
          </cell>
          <cell r="P786" t="str">
            <v>日常</v>
          </cell>
          <cell r="R786" t="str">
            <v>VPC</v>
          </cell>
        </row>
        <row r="787">
          <cell r="B787">
            <v>9630</v>
          </cell>
          <cell r="O787" t="str">
            <v>B</v>
          </cell>
          <cell r="P787" t="str">
            <v>日常</v>
          </cell>
          <cell r="R787" t="str">
            <v>APR</v>
          </cell>
        </row>
        <row r="788">
          <cell r="B788">
            <v>9630</v>
          </cell>
          <cell r="O788" t="str">
            <v>B</v>
          </cell>
          <cell r="P788" t="str">
            <v>日常</v>
          </cell>
          <cell r="R788" t="str">
            <v>洗浄機</v>
          </cell>
        </row>
        <row r="789">
          <cell r="B789">
            <v>9630</v>
          </cell>
          <cell r="O789" t="str">
            <v>A</v>
          </cell>
          <cell r="P789" t="str">
            <v>定期</v>
          </cell>
          <cell r="R789" t="str">
            <v>CLG</v>
          </cell>
        </row>
        <row r="790">
          <cell r="B790">
            <v>9630</v>
          </cell>
          <cell r="O790" t="str">
            <v>B</v>
          </cell>
          <cell r="P790" t="str">
            <v>日常</v>
          </cell>
          <cell r="R790" t="str">
            <v>VPC</v>
          </cell>
        </row>
        <row r="791">
          <cell r="B791">
            <v>9630</v>
          </cell>
          <cell r="O791" t="str">
            <v>B</v>
          </cell>
          <cell r="P791" t="str">
            <v>日常</v>
          </cell>
          <cell r="R791" t="str">
            <v>VLT</v>
          </cell>
        </row>
        <row r="792">
          <cell r="B792">
            <v>9630</v>
          </cell>
          <cell r="O792" t="str">
            <v>B</v>
          </cell>
          <cell r="P792" t="str">
            <v>日常</v>
          </cell>
          <cell r="R792" t="str">
            <v>APR</v>
          </cell>
        </row>
        <row r="793">
          <cell r="B793">
            <v>9630</v>
          </cell>
          <cell r="O793" t="str">
            <v>B</v>
          </cell>
          <cell r="P793" t="str">
            <v>日常</v>
          </cell>
          <cell r="R793" t="str">
            <v>洗浄機</v>
          </cell>
        </row>
        <row r="794">
          <cell r="B794">
            <v>9630</v>
          </cell>
          <cell r="O794" t="str">
            <v>A</v>
          </cell>
          <cell r="P794" t="str">
            <v>定期</v>
          </cell>
          <cell r="R794" t="str">
            <v>CLG</v>
          </cell>
        </row>
        <row r="795">
          <cell r="B795">
            <v>9630</v>
          </cell>
          <cell r="O795" t="str">
            <v>B</v>
          </cell>
          <cell r="P795" t="str">
            <v>日常</v>
          </cell>
          <cell r="R795" t="str">
            <v>VLT</v>
          </cell>
        </row>
        <row r="796">
          <cell r="B796">
            <v>9630</v>
          </cell>
          <cell r="O796" t="str">
            <v>B</v>
          </cell>
          <cell r="P796" t="str">
            <v>日常</v>
          </cell>
          <cell r="R796" t="str">
            <v>VPC</v>
          </cell>
        </row>
        <row r="797">
          <cell r="B797">
            <v>9630</v>
          </cell>
          <cell r="O797" t="str">
            <v>B</v>
          </cell>
          <cell r="P797" t="str">
            <v>日常</v>
          </cell>
          <cell r="R797" t="str">
            <v>APR</v>
          </cell>
        </row>
        <row r="798">
          <cell r="B798">
            <v>9630</v>
          </cell>
          <cell r="O798" t="str">
            <v>B</v>
          </cell>
          <cell r="P798" t="str">
            <v>日常</v>
          </cell>
          <cell r="R798" t="str">
            <v>洗浄機</v>
          </cell>
        </row>
        <row r="800">
          <cell r="B800">
            <v>9640</v>
          </cell>
          <cell r="O800" t="str">
            <v>B</v>
          </cell>
          <cell r="P800" t="str">
            <v>日常</v>
          </cell>
          <cell r="R800" t="str">
            <v>VEG</v>
          </cell>
        </row>
        <row r="801">
          <cell r="B801">
            <v>9640</v>
          </cell>
          <cell r="O801" t="str">
            <v>A</v>
          </cell>
          <cell r="P801" t="str">
            <v>定期</v>
          </cell>
          <cell r="R801" t="str">
            <v>MUG</v>
          </cell>
        </row>
        <row r="802">
          <cell r="B802">
            <v>9640</v>
          </cell>
          <cell r="O802" t="str">
            <v>A</v>
          </cell>
          <cell r="P802" t="str">
            <v>定期</v>
          </cell>
          <cell r="R802" t="str">
            <v>MUG</v>
          </cell>
        </row>
        <row r="803">
          <cell r="B803">
            <v>9640</v>
          </cell>
          <cell r="O803" t="str">
            <v>B</v>
          </cell>
          <cell r="P803" t="str">
            <v>日常</v>
          </cell>
          <cell r="R803" t="str">
            <v>VLT</v>
          </cell>
        </row>
        <row r="804">
          <cell r="B804">
            <v>9640</v>
          </cell>
          <cell r="O804" t="str">
            <v>A</v>
          </cell>
          <cell r="P804" t="str">
            <v>定期</v>
          </cell>
          <cell r="R804" t="str">
            <v>RFH</v>
          </cell>
        </row>
        <row r="805">
          <cell r="B805">
            <v>9640</v>
          </cell>
          <cell r="O805" t="str">
            <v>B</v>
          </cell>
          <cell r="P805" t="str">
            <v>日常</v>
          </cell>
          <cell r="R805" t="str">
            <v>洗浄機</v>
          </cell>
        </row>
        <row r="806">
          <cell r="B806">
            <v>9640</v>
          </cell>
          <cell r="O806" t="str">
            <v>A</v>
          </cell>
          <cell r="P806" t="str">
            <v>定期</v>
          </cell>
          <cell r="R806" t="str">
            <v>VSG</v>
          </cell>
        </row>
        <row r="807">
          <cell r="B807">
            <v>9640</v>
          </cell>
          <cell r="O807" t="str">
            <v>A</v>
          </cell>
          <cell r="P807" t="str">
            <v>定期</v>
          </cell>
          <cell r="R807" t="str">
            <v>VSG</v>
          </cell>
        </row>
        <row r="808">
          <cell r="B808">
            <v>9640</v>
          </cell>
          <cell r="O808" t="str">
            <v>B</v>
          </cell>
          <cell r="P808" t="str">
            <v>日常</v>
          </cell>
          <cell r="R808" t="str">
            <v>VEG</v>
          </cell>
        </row>
        <row r="809">
          <cell r="B809">
            <v>9640</v>
          </cell>
          <cell r="O809" t="str">
            <v>B</v>
          </cell>
          <cell r="P809" t="str">
            <v>日常</v>
          </cell>
          <cell r="R809" t="str">
            <v>VLT</v>
          </cell>
        </row>
        <row r="810">
          <cell r="B810">
            <v>9640</v>
          </cell>
          <cell r="O810" t="str">
            <v>A</v>
          </cell>
          <cell r="P810" t="str">
            <v>定期</v>
          </cell>
          <cell r="R810" t="str">
            <v>RFH</v>
          </cell>
        </row>
        <row r="811">
          <cell r="B811">
            <v>9640</v>
          </cell>
          <cell r="O811" t="str">
            <v>B</v>
          </cell>
          <cell r="P811" t="str">
            <v>日常</v>
          </cell>
          <cell r="R811" t="str">
            <v>洗浄機</v>
          </cell>
        </row>
        <row r="812">
          <cell r="B812">
            <v>9640</v>
          </cell>
          <cell r="O812" t="str">
            <v>B</v>
          </cell>
          <cell r="P812" t="str">
            <v>日常</v>
          </cell>
          <cell r="R812" t="str">
            <v>VEG</v>
          </cell>
        </row>
        <row r="813">
          <cell r="B813">
            <v>9640</v>
          </cell>
          <cell r="O813" t="str">
            <v>A</v>
          </cell>
          <cell r="P813" t="str">
            <v>定期</v>
          </cell>
          <cell r="R813" t="str">
            <v>VHG</v>
          </cell>
        </row>
        <row r="814">
          <cell r="B814">
            <v>9640</v>
          </cell>
          <cell r="O814" t="str">
            <v>A</v>
          </cell>
          <cell r="P814" t="str">
            <v>定期</v>
          </cell>
          <cell r="R814" t="str">
            <v>VHG</v>
          </cell>
        </row>
        <row r="815">
          <cell r="B815">
            <v>9640</v>
          </cell>
          <cell r="O815" t="str">
            <v>B</v>
          </cell>
          <cell r="P815" t="str">
            <v>日常</v>
          </cell>
          <cell r="R815" t="str">
            <v>VLT</v>
          </cell>
        </row>
        <row r="816">
          <cell r="B816">
            <v>9640</v>
          </cell>
          <cell r="O816" t="str">
            <v>A</v>
          </cell>
          <cell r="P816" t="str">
            <v>定期</v>
          </cell>
          <cell r="R816" t="str">
            <v>RFH</v>
          </cell>
        </row>
        <row r="817">
          <cell r="B817">
            <v>9640</v>
          </cell>
          <cell r="O817" t="str">
            <v>B</v>
          </cell>
          <cell r="P817" t="str">
            <v>日常</v>
          </cell>
          <cell r="R817" t="str">
            <v>洗浄機</v>
          </cell>
        </row>
        <row r="818">
          <cell r="B818">
            <v>9640</v>
          </cell>
          <cell r="O818" t="str">
            <v>A</v>
          </cell>
          <cell r="P818" t="str">
            <v>定期</v>
          </cell>
          <cell r="R818" t="str">
            <v>VHG</v>
          </cell>
        </row>
        <row r="819">
          <cell r="B819">
            <v>9640</v>
          </cell>
          <cell r="O819" t="str">
            <v>A</v>
          </cell>
          <cell r="P819" t="str">
            <v>定期</v>
          </cell>
          <cell r="R819" t="str">
            <v>VHG</v>
          </cell>
        </row>
        <row r="820">
          <cell r="B820">
            <v>9640</v>
          </cell>
          <cell r="O820" t="str">
            <v>B</v>
          </cell>
          <cell r="P820" t="str">
            <v>日常</v>
          </cell>
          <cell r="R820" t="str">
            <v>VEG</v>
          </cell>
        </row>
        <row r="821">
          <cell r="B821">
            <v>9640</v>
          </cell>
          <cell r="O821" t="str">
            <v>B</v>
          </cell>
          <cell r="P821" t="str">
            <v>日常</v>
          </cell>
          <cell r="R821" t="str">
            <v>VLT</v>
          </cell>
        </row>
        <row r="822">
          <cell r="B822">
            <v>9640</v>
          </cell>
          <cell r="O822" t="str">
            <v>A</v>
          </cell>
          <cell r="P822" t="str">
            <v>定期</v>
          </cell>
          <cell r="R822" t="str">
            <v>RFH</v>
          </cell>
        </row>
        <row r="823">
          <cell r="B823">
            <v>9640</v>
          </cell>
          <cell r="O823" t="str">
            <v>B</v>
          </cell>
          <cell r="P823" t="str">
            <v>日常</v>
          </cell>
          <cell r="R823" t="str">
            <v>洗浄機</v>
          </cell>
        </row>
        <row r="826">
          <cell r="B826">
            <v>9650</v>
          </cell>
          <cell r="O826" t="str">
            <v>A</v>
          </cell>
          <cell r="P826" t="str">
            <v>定期</v>
          </cell>
          <cell r="R826" t="str">
            <v>VFG</v>
          </cell>
        </row>
        <row r="827">
          <cell r="B827">
            <v>9650</v>
          </cell>
          <cell r="O827" t="str">
            <v>A</v>
          </cell>
          <cell r="P827" t="str">
            <v>定期</v>
          </cell>
          <cell r="R827" t="str">
            <v>VFG</v>
          </cell>
        </row>
        <row r="828">
          <cell r="B828">
            <v>9650</v>
          </cell>
          <cell r="O828" t="str">
            <v>B</v>
          </cell>
          <cell r="P828" t="str">
            <v>日常</v>
          </cell>
          <cell r="R828" t="str">
            <v>VEC</v>
          </cell>
        </row>
        <row r="829">
          <cell r="B829">
            <v>9650</v>
          </cell>
          <cell r="O829" t="str">
            <v>B</v>
          </cell>
          <cell r="P829" t="str">
            <v>日常</v>
          </cell>
          <cell r="R829" t="str">
            <v>VLT</v>
          </cell>
        </row>
        <row r="830">
          <cell r="B830">
            <v>9650</v>
          </cell>
          <cell r="O830" t="str">
            <v>A</v>
          </cell>
          <cell r="P830" t="str">
            <v>定期</v>
          </cell>
          <cell r="R830" t="str">
            <v>RFH</v>
          </cell>
        </row>
        <row r="831">
          <cell r="B831">
            <v>9650</v>
          </cell>
          <cell r="O831" t="str">
            <v>B</v>
          </cell>
          <cell r="P831" t="str">
            <v>日常</v>
          </cell>
          <cell r="R831" t="str">
            <v>洗浄機</v>
          </cell>
        </row>
        <row r="832">
          <cell r="B832">
            <v>9650</v>
          </cell>
          <cell r="O832" t="str">
            <v>A</v>
          </cell>
          <cell r="P832" t="str">
            <v>定期</v>
          </cell>
          <cell r="R832" t="str">
            <v>VFG</v>
          </cell>
        </row>
        <row r="833">
          <cell r="B833">
            <v>9650</v>
          </cell>
          <cell r="O833" t="str">
            <v>A</v>
          </cell>
          <cell r="P833" t="str">
            <v>定期</v>
          </cell>
          <cell r="R833" t="str">
            <v>VFG</v>
          </cell>
        </row>
        <row r="834">
          <cell r="B834">
            <v>9650</v>
          </cell>
          <cell r="O834" t="str">
            <v>B</v>
          </cell>
          <cell r="P834" t="str">
            <v>日常</v>
          </cell>
          <cell r="R834" t="str">
            <v>VEC</v>
          </cell>
        </row>
        <row r="835">
          <cell r="B835">
            <v>9650</v>
          </cell>
          <cell r="O835" t="str">
            <v>B</v>
          </cell>
          <cell r="P835" t="str">
            <v>日常</v>
          </cell>
          <cell r="R835" t="str">
            <v>VLT</v>
          </cell>
        </row>
        <row r="836">
          <cell r="B836">
            <v>9650</v>
          </cell>
          <cell r="O836" t="str">
            <v>A</v>
          </cell>
          <cell r="P836" t="str">
            <v>定期</v>
          </cell>
          <cell r="R836" t="str">
            <v>RFH</v>
          </cell>
        </row>
        <row r="837">
          <cell r="B837">
            <v>9650</v>
          </cell>
          <cell r="O837" t="str">
            <v>B</v>
          </cell>
          <cell r="P837" t="str">
            <v>日常</v>
          </cell>
          <cell r="R837" t="str">
            <v>洗浄機</v>
          </cell>
        </row>
        <row r="838">
          <cell r="B838">
            <v>9650</v>
          </cell>
          <cell r="O838" t="str">
            <v>A</v>
          </cell>
          <cell r="P838" t="str">
            <v>定期</v>
          </cell>
          <cell r="R838" t="str">
            <v>VSG</v>
          </cell>
        </row>
        <row r="839">
          <cell r="B839">
            <v>9650</v>
          </cell>
          <cell r="O839" t="str">
            <v>B</v>
          </cell>
          <cell r="P839" t="str">
            <v>日常</v>
          </cell>
          <cell r="R839" t="str">
            <v>VEG</v>
          </cell>
        </row>
        <row r="840">
          <cell r="B840">
            <v>9650</v>
          </cell>
          <cell r="O840" t="str">
            <v>B</v>
          </cell>
          <cell r="P840" t="str">
            <v>日常</v>
          </cell>
          <cell r="R840" t="str">
            <v>VLT</v>
          </cell>
        </row>
        <row r="841">
          <cell r="B841">
            <v>9650</v>
          </cell>
          <cell r="O841" t="str">
            <v>A</v>
          </cell>
          <cell r="P841" t="str">
            <v>定期</v>
          </cell>
          <cell r="R841" t="str">
            <v>RFH</v>
          </cell>
        </row>
        <row r="842">
          <cell r="B842">
            <v>9650</v>
          </cell>
          <cell r="O842" t="str">
            <v>B</v>
          </cell>
          <cell r="P842" t="str">
            <v>日常</v>
          </cell>
          <cell r="R842" t="str">
            <v>洗浄機</v>
          </cell>
        </row>
        <row r="843">
          <cell r="B843">
            <v>9650</v>
          </cell>
          <cell r="O843" t="str">
            <v>B</v>
          </cell>
          <cell r="P843" t="str">
            <v>日常</v>
          </cell>
          <cell r="R843" t="str">
            <v>VEG</v>
          </cell>
        </row>
        <row r="844">
          <cell r="B844">
            <v>9650</v>
          </cell>
          <cell r="O844" t="str">
            <v>B</v>
          </cell>
          <cell r="P844" t="str">
            <v>日常</v>
          </cell>
          <cell r="R844" t="str">
            <v>VLT</v>
          </cell>
        </row>
        <row r="845">
          <cell r="B845">
            <v>9650</v>
          </cell>
          <cell r="O845" t="str">
            <v>C</v>
          </cell>
          <cell r="P845" t="str">
            <v>日常</v>
          </cell>
          <cell r="R845" t="str">
            <v>VMT</v>
          </cell>
        </row>
        <row r="846">
          <cell r="B846">
            <v>9650</v>
          </cell>
          <cell r="O846" t="str">
            <v>B</v>
          </cell>
          <cell r="P846" t="str">
            <v>日常</v>
          </cell>
          <cell r="R846" t="str">
            <v>APR</v>
          </cell>
        </row>
        <row r="847">
          <cell r="B847">
            <v>9650</v>
          </cell>
          <cell r="O847" t="str">
            <v>B</v>
          </cell>
          <cell r="P847" t="str">
            <v>日常</v>
          </cell>
          <cell r="R847" t="str">
            <v>VPC</v>
          </cell>
        </row>
        <row r="848">
          <cell r="B848">
            <v>9650</v>
          </cell>
          <cell r="O848" t="str">
            <v>A</v>
          </cell>
          <cell r="P848" t="str">
            <v>定期</v>
          </cell>
          <cell r="R848" t="str">
            <v>RFH</v>
          </cell>
        </row>
        <row r="849">
          <cell r="B849">
            <v>9650</v>
          </cell>
          <cell r="O849" t="str">
            <v>B</v>
          </cell>
          <cell r="P849" t="str">
            <v>日常</v>
          </cell>
          <cell r="R849" t="str">
            <v>洗浄機</v>
          </cell>
        </row>
        <row r="851">
          <cell r="B851">
            <v>9620</v>
          </cell>
          <cell r="O851" t="str">
            <v>C</v>
          </cell>
          <cell r="P851" t="str">
            <v>日常</v>
          </cell>
          <cell r="R851" t="str">
            <v>軸矯正機</v>
          </cell>
        </row>
        <row r="852">
          <cell r="B852">
            <v>9620</v>
          </cell>
          <cell r="O852" t="str">
            <v>B</v>
          </cell>
          <cell r="P852" t="str">
            <v>日常</v>
          </cell>
          <cell r="R852" t="str">
            <v>VLT</v>
          </cell>
        </row>
        <row r="853">
          <cell r="B853">
            <v>9620</v>
          </cell>
          <cell r="O853" t="str">
            <v>C</v>
          </cell>
          <cell r="P853" t="str">
            <v>日常</v>
          </cell>
          <cell r="R853" t="str">
            <v>過流探傷機</v>
          </cell>
        </row>
        <row r="854">
          <cell r="B854">
            <v>9620</v>
          </cell>
          <cell r="O854">
            <v>0</v>
          </cell>
          <cell r="P854">
            <v>0</v>
          </cell>
          <cell r="R854" t="str">
            <v>脱磁気</v>
          </cell>
        </row>
        <row r="855">
          <cell r="B855">
            <v>9710</v>
          </cell>
          <cell r="O855" t="str">
            <v>A</v>
          </cell>
          <cell r="P855" t="str">
            <v>法定</v>
          </cell>
          <cell r="R855" t="str">
            <v>ｱﾙﾐﾘﾃｰﾅｰﾌﾟﾚｽ</v>
          </cell>
        </row>
        <row r="856">
          <cell r="B856">
            <v>9710</v>
          </cell>
          <cell r="O856" t="str">
            <v>A</v>
          </cell>
          <cell r="P856" t="str">
            <v>法定</v>
          </cell>
          <cell r="R856" t="str">
            <v>ｱﾙﾐﾘﾃｰﾅｰﾌﾟﾚｽ</v>
          </cell>
        </row>
        <row r="858">
          <cell r="B858">
            <v>9710</v>
          </cell>
          <cell r="O858" t="str">
            <v>B</v>
          </cell>
          <cell r="P858" t="str">
            <v>日常</v>
          </cell>
          <cell r="R858" t="str">
            <v>ｱﾙﾐﾘﾃｰﾅ自動測定装置</v>
          </cell>
        </row>
        <row r="859">
          <cell r="B859">
            <v>9710</v>
          </cell>
          <cell r="O859" t="str">
            <v>B</v>
          </cell>
          <cell r="P859" t="str">
            <v>日常</v>
          </cell>
          <cell r="R859" t="str">
            <v>ｱﾙﾐﾘﾃｰﾅ自動測定装置</v>
          </cell>
        </row>
        <row r="860">
          <cell r="B860">
            <v>9710</v>
          </cell>
          <cell r="O860" t="str">
            <v>B</v>
          </cell>
          <cell r="P860" t="str">
            <v>日常</v>
          </cell>
          <cell r="R860" t="str">
            <v>ｱﾙﾐﾘﾃｰﾅ自動測定装置</v>
          </cell>
        </row>
        <row r="861">
          <cell r="B861">
            <v>9710</v>
          </cell>
          <cell r="O861" t="str">
            <v>B</v>
          </cell>
          <cell r="P861" t="str">
            <v>日常</v>
          </cell>
          <cell r="R861" t="str">
            <v>洗浄機</v>
          </cell>
        </row>
        <row r="863">
          <cell r="B863">
            <v>9710</v>
          </cell>
          <cell r="O863">
            <v>0</v>
          </cell>
          <cell r="P863">
            <v>0</v>
          </cell>
          <cell r="R863" t="str">
            <v>両頭ｸﾞﾗｲﾝﾀﾞｰ</v>
          </cell>
        </row>
        <row r="864">
          <cell r="B864">
            <v>9770</v>
          </cell>
          <cell r="O864" t="str">
            <v>B</v>
          </cell>
          <cell r="P864" t="str">
            <v>日常</v>
          </cell>
          <cell r="R864" t="str">
            <v>ﾊﾞﾚﾙ研磨機</v>
          </cell>
        </row>
        <row r="865">
          <cell r="B865">
            <v>9770</v>
          </cell>
          <cell r="O865" t="str">
            <v>A</v>
          </cell>
          <cell r="P865" t="str">
            <v>法定</v>
          </cell>
          <cell r="R865" t="str">
            <v>ｺｯﾀｰﾌﾟﾚｽ</v>
          </cell>
        </row>
        <row r="866">
          <cell r="B866">
            <v>9770</v>
          </cell>
          <cell r="O866" t="str">
            <v>A</v>
          </cell>
          <cell r="P866" t="str">
            <v>法定</v>
          </cell>
          <cell r="R866" t="str">
            <v>ｺｯﾀｰﾌﾟﾚｽ</v>
          </cell>
        </row>
        <row r="867">
          <cell r="B867">
            <v>9770</v>
          </cell>
          <cell r="O867" t="str">
            <v>C</v>
          </cell>
          <cell r="P867" t="str">
            <v>日常</v>
          </cell>
          <cell r="R867" t="str">
            <v>引抜機</v>
          </cell>
        </row>
        <row r="868">
          <cell r="B868">
            <v>9770</v>
          </cell>
          <cell r="O868" t="str">
            <v>C</v>
          </cell>
          <cell r="P868" t="str">
            <v>日常</v>
          </cell>
          <cell r="R868" t="str">
            <v>引抜機</v>
          </cell>
        </row>
        <row r="869">
          <cell r="B869">
            <v>9770</v>
          </cell>
          <cell r="O869" t="str">
            <v>C</v>
          </cell>
          <cell r="P869" t="str">
            <v>日常</v>
          </cell>
          <cell r="R869" t="str">
            <v>引抜機</v>
          </cell>
        </row>
        <row r="870">
          <cell r="B870">
            <v>9770</v>
          </cell>
          <cell r="O870" t="str">
            <v>A</v>
          </cell>
          <cell r="P870" t="str">
            <v>法定</v>
          </cell>
          <cell r="R870" t="str">
            <v>ｺｯﾀｰﾌﾟﾚｽ</v>
          </cell>
        </row>
        <row r="871">
          <cell r="B871">
            <v>9770</v>
          </cell>
          <cell r="O871" t="str">
            <v>A</v>
          </cell>
          <cell r="P871" t="str">
            <v>法定</v>
          </cell>
          <cell r="R871" t="str">
            <v>ｺｯﾀｰﾌﾟﾚｽ</v>
          </cell>
        </row>
        <row r="872">
          <cell r="B872">
            <v>9770</v>
          </cell>
          <cell r="O872" t="str">
            <v>C</v>
          </cell>
          <cell r="P872" t="str">
            <v>日常</v>
          </cell>
          <cell r="R872" t="str">
            <v>引抜機</v>
          </cell>
        </row>
        <row r="873">
          <cell r="B873">
            <v>9770</v>
          </cell>
          <cell r="O873" t="str">
            <v>B</v>
          </cell>
          <cell r="P873" t="str">
            <v>日常</v>
          </cell>
          <cell r="R873" t="str">
            <v>ﾊﾞﾚﾙ研磨機</v>
          </cell>
        </row>
        <row r="874">
          <cell r="B874">
            <v>9770</v>
          </cell>
          <cell r="O874" t="str">
            <v>A</v>
          </cell>
          <cell r="P874" t="str">
            <v>法定</v>
          </cell>
          <cell r="R874" t="str">
            <v>ｺｯﾀｰﾌﾟﾚｽ</v>
          </cell>
        </row>
        <row r="875">
          <cell r="B875">
            <v>9770</v>
          </cell>
          <cell r="O875" t="str">
            <v>A</v>
          </cell>
          <cell r="P875" t="str">
            <v>法定</v>
          </cell>
          <cell r="R875" t="str">
            <v>ｺｯﾀｰﾌﾟﾚｽ</v>
          </cell>
        </row>
        <row r="876">
          <cell r="B876">
            <v>9770</v>
          </cell>
          <cell r="O876" t="str">
            <v>A</v>
          </cell>
          <cell r="P876" t="str">
            <v>法定</v>
          </cell>
          <cell r="R876" t="str">
            <v>ｺｯﾀｰﾌﾟﾚｽ</v>
          </cell>
        </row>
        <row r="877">
          <cell r="B877">
            <v>9770</v>
          </cell>
          <cell r="O877" t="str">
            <v>B</v>
          </cell>
          <cell r="P877" t="str">
            <v>日常</v>
          </cell>
          <cell r="R877" t="str">
            <v>ﾊﾞﾚﾙ研磨機</v>
          </cell>
        </row>
        <row r="878">
          <cell r="B878">
            <v>9770</v>
          </cell>
          <cell r="O878" t="str">
            <v>A</v>
          </cell>
          <cell r="P878" t="str">
            <v>法定</v>
          </cell>
          <cell r="R878" t="str">
            <v>ｺｯﾀｰﾌﾟﾚｽ</v>
          </cell>
        </row>
        <row r="879">
          <cell r="B879">
            <v>9770</v>
          </cell>
          <cell r="O879">
            <v>0</v>
          </cell>
          <cell r="P879">
            <v>0</v>
          </cell>
          <cell r="R879" t="str">
            <v>両頭ｸﾞﾗｲﾝﾀﾞｰ</v>
          </cell>
        </row>
        <row r="880">
          <cell r="B880">
            <v>9770</v>
          </cell>
          <cell r="O880">
            <v>0</v>
          </cell>
          <cell r="P880">
            <v>0</v>
          </cell>
          <cell r="R880" t="str">
            <v>平面研削盤</v>
          </cell>
        </row>
        <row r="881">
          <cell r="B881">
            <v>9770</v>
          </cell>
          <cell r="O881" t="str">
            <v>B</v>
          </cell>
          <cell r="P881" t="str">
            <v>日常</v>
          </cell>
          <cell r="R881" t="str">
            <v>ﾊﾞｯﾄ溶接機</v>
          </cell>
        </row>
        <row r="882">
          <cell r="B882">
            <v>9770</v>
          </cell>
          <cell r="O882" t="str">
            <v>B</v>
          </cell>
          <cell r="P882" t="str">
            <v>日常</v>
          </cell>
          <cell r="R882" t="str">
            <v>ﾊﾞｯﾄ溶接機</v>
          </cell>
        </row>
        <row r="883">
          <cell r="B883">
            <v>9770</v>
          </cell>
          <cell r="O883">
            <v>0</v>
          </cell>
          <cell r="P883">
            <v>0</v>
          </cell>
          <cell r="R883" t="str">
            <v>自動倉庫</v>
          </cell>
        </row>
        <row r="884">
          <cell r="B884">
            <v>9770</v>
          </cell>
          <cell r="O884" t="str">
            <v>C</v>
          </cell>
          <cell r="P884" t="str">
            <v>日常</v>
          </cell>
          <cell r="R884" t="str">
            <v>ﾘｰﾙｽﾀﾝﾄﾞ</v>
          </cell>
        </row>
        <row r="885">
          <cell r="B885">
            <v>9770</v>
          </cell>
          <cell r="O885" t="str">
            <v>C</v>
          </cell>
          <cell r="P885" t="str">
            <v>日常</v>
          </cell>
          <cell r="R885" t="str">
            <v>ﾘｰﾙｽﾀﾝﾄﾞ</v>
          </cell>
        </row>
        <row r="886">
          <cell r="B886">
            <v>9770</v>
          </cell>
          <cell r="O886" t="str">
            <v>C</v>
          </cell>
          <cell r="P886" t="str">
            <v>日常</v>
          </cell>
          <cell r="R886" t="str">
            <v>ﾘｰﾙｽﾀﾝﾄﾞ</v>
          </cell>
        </row>
        <row r="887">
          <cell r="B887">
            <v>9770</v>
          </cell>
          <cell r="O887">
            <v>0</v>
          </cell>
          <cell r="P887">
            <v>0</v>
          </cell>
          <cell r="R887" t="str">
            <v>振動選別機</v>
          </cell>
        </row>
        <row r="888">
          <cell r="B888">
            <v>9770</v>
          </cell>
          <cell r="O888" t="str">
            <v>B</v>
          </cell>
          <cell r="P888" t="str">
            <v>日常</v>
          </cell>
          <cell r="R888" t="str">
            <v>巻取機</v>
          </cell>
        </row>
        <row r="889">
          <cell r="B889">
            <v>9770</v>
          </cell>
          <cell r="O889" t="str">
            <v>C</v>
          </cell>
          <cell r="P889" t="str">
            <v>日常</v>
          </cell>
          <cell r="R889" t="str">
            <v>ｱﾝｺｲﾗｰ</v>
          </cell>
        </row>
        <row r="890">
          <cell r="B890">
            <v>9770</v>
          </cell>
          <cell r="O890" t="str">
            <v>C</v>
          </cell>
          <cell r="P890" t="str">
            <v>日常</v>
          </cell>
          <cell r="R890" t="str">
            <v>脱水機</v>
          </cell>
        </row>
        <row r="891">
          <cell r="B891">
            <v>9770</v>
          </cell>
          <cell r="O891" t="str">
            <v>C</v>
          </cell>
          <cell r="P891" t="str">
            <v>日常</v>
          </cell>
          <cell r="R891" t="str">
            <v>ｺｯﾀｰ選別機</v>
          </cell>
        </row>
        <row r="892">
          <cell r="B892">
            <v>9770</v>
          </cell>
          <cell r="O892" t="str">
            <v>C</v>
          </cell>
          <cell r="P892" t="str">
            <v>日常</v>
          </cell>
          <cell r="R892" t="str">
            <v>ｺｯﾀｰ選別機</v>
          </cell>
        </row>
        <row r="893">
          <cell r="B893">
            <v>9770</v>
          </cell>
          <cell r="O893" t="str">
            <v>C</v>
          </cell>
          <cell r="P893" t="str">
            <v>日常</v>
          </cell>
          <cell r="R893" t="str">
            <v>ｺｯﾀｰ選別機</v>
          </cell>
        </row>
        <row r="894">
          <cell r="B894">
            <v>9770</v>
          </cell>
          <cell r="O894" t="str">
            <v>C</v>
          </cell>
          <cell r="P894" t="str">
            <v>日常</v>
          </cell>
          <cell r="R894" t="str">
            <v>ｱﾝｺｲﾗｰ</v>
          </cell>
        </row>
        <row r="895">
          <cell r="B895">
            <v>9770</v>
          </cell>
          <cell r="O895" t="str">
            <v>C</v>
          </cell>
          <cell r="P895" t="str">
            <v>日常</v>
          </cell>
          <cell r="R895" t="str">
            <v>ｺｯﾀｰ選別機</v>
          </cell>
        </row>
        <row r="896">
          <cell r="B896">
            <v>9770</v>
          </cell>
          <cell r="O896" t="str">
            <v>C</v>
          </cell>
          <cell r="P896" t="str">
            <v>日常</v>
          </cell>
          <cell r="R896" t="str">
            <v>ｺｯﾀｰ選別機</v>
          </cell>
        </row>
        <row r="897">
          <cell r="B897">
            <v>9770</v>
          </cell>
          <cell r="O897" t="str">
            <v>B</v>
          </cell>
          <cell r="P897" t="str">
            <v>日常</v>
          </cell>
          <cell r="R897" t="str">
            <v>巻取機</v>
          </cell>
        </row>
        <row r="898">
          <cell r="B898">
            <v>9770</v>
          </cell>
          <cell r="O898" t="str">
            <v>B</v>
          </cell>
          <cell r="P898" t="str">
            <v>日常</v>
          </cell>
          <cell r="R898" t="str">
            <v>巻取機</v>
          </cell>
        </row>
        <row r="899">
          <cell r="B899">
            <v>9770</v>
          </cell>
          <cell r="O899" t="str">
            <v>B</v>
          </cell>
          <cell r="P899" t="str">
            <v>日常</v>
          </cell>
          <cell r="R899" t="str">
            <v>巻取機</v>
          </cell>
        </row>
        <row r="900">
          <cell r="B900">
            <v>9770</v>
          </cell>
          <cell r="O900" t="str">
            <v>C</v>
          </cell>
          <cell r="P900" t="str">
            <v>日常</v>
          </cell>
          <cell r="R900" t="str">
            <v>ｺｯﾀｰ選別機</v>
          </cell>
        </row>
        <row r="901">
          <cell r="B901">
            <v>9770</v>
          </cell>
          <cell r="O901" t="str">
            <v>C</v>
          </cell>
          <cell r="P901" t="str">
            <v>日常</v>
          </cell>
          <cell r="R901" t="str">
            <v>ｺｯﾀｰ選別機</v>
          </cell>
        </row>
        <row r="902">
          <cell r="B902">
            <v>9770</v>
          </cell>
          <cell r="O902" t="str">
            <v>C</v>
          </cell>
          <cell r="P902" t="str">
            <v>日常</v>
          </cell>
          <cell r="R902" t="str">
            <v>ｺｯﾀｰ選別機</v>
          </cell>
        </row>
        <row r="903">
          <cell r="B903">
            <v>9770</v>
          </cell>
          <cell r="O903" t="str">
            <v>C</v>
          </cell>
          <cell r="P903" t="str">
            <v>日常</v>
          </cell>
          <cell r="R903" t="str">
            <v>ｺｯﾀｰ選別機</v>
          </cell>
        </row>
        <row r="904">
          <cell r="B904">
            <v>9770</v>
          </cell>
          <cell r="O904">
            <v>0</v>
          </cell>
          <cell r="P904">
            <v>0</v>
          </cell>
          <cell r="R904" t="str">
            <v>ｲﾝﾊﾟﾚｽｵｰﾄｼｰﾗｰ</v>
          </cell>
        </row>
        <row r="905">
          <cell r="B905">
            <v>9770</v>
          </cell>
          <cell r="O905" t="str">
            <v>C</v>
          </cell>
          <cell r="P905" t="str">
            <v>日常</v>
          </cell>
          <cell r="R905" t="str">
            <v>ｺｯﾀｰ選別機</v>
          </cell>
        </row>
        <row r="906">
          <cell r="B906">
            <v>9770</v>
          </cell>
          <cell r="O906" t="str">
            <v>C</v>
          </cell>
          <cell r="P906" t="str">
            <v>日常</v>
          </cell>
          <cell r="R906" t="str">
            <v>ﾘｰﾙｽﾀﾝﾄﾞ</v>
          </cell>
        </row>
        <row r="907">
          <cell r="B907">
            <v>9770</v>
          </cell>
          <cell r="O907" t="str">
            <v>C</v>
          </cell>
          <cell r="P907" t="str">
            <v>日常</v>
          </cell>
          <cell r="R907" t="str">
            <v>ｱﾝｺｲﾗｰ</v>
          </cell>
        </row>
        <row r="908">
          <cell r="B908">
            <v>9770</v>
          </cell>
          <cell r="O908" t="str">
            <v>C</v>
          </cell>
          <cell r="P908" t="str">
            <v>日常</v>
          </cell>
          <cell r="R908" t="str">
            <v>ｱﾝｺｲﾗｰ</v>
          </cell>
        </row>
        <row r="909">
          <cell r="B909">
            <v>9770</v>
          </cell>
          <cell r="O909" t="str">
            <v>C</v>
          </cell>
          <cell r="P909" t="str">
            <v>日常</v>
          </cell>
          <cell r="R909" t="str">
            <v>ｱﾝｺｲﾗｰ</v>
          </cell>
        </row>
        <row r="910">
          <cell r="B910">
            <v>9770</v>
          </cell>
          <cell r="O910" t="str">
            <v>C</v>
          </cell>
          <cell r="P910" t="str">
            <v>日常</v>
          </cell>
          <cell r="R910" t="str">
            <v>ｱﾝｺｲﾗｰ</v>
          </cell>
        </row>
        <row r="911">
          <cell r="B911">
            <v>9770</v>
          </cell>
          <cell r="O911" t="str">
            <v>C</v>
          </cell>
          <cell r="P911" t="str">
            <v>日常</v>
          </cell>
          <cell r="R911" t="str">
            <v>ｱﾝｺｲﾗｰ</v>
          </cell>
        </row>
        <row r="912">
          <cell r="B912">
            <v>9770</v>
          </cell>
          <cell r="O912" t="str">
            <v>C</v>
          </cell>
          <cell r="P912" t="str">
            <v>日常</v>
          </cell>
          <cell r="R912" t="str">
            <v>ｺｯﾀｰ選別機</v>
          </cell>
        </row>
        <row r="913">
          <cell r="B913">
            <v>9770</v>
          </cell>
          <cell r="O913" t="str">
            <v>C</v>
          </cell>
          <cell r="P913" t="str">
            <v>日常</v>
          </cell>
          <cell r="R913" t="str">
            <v>ｺｯﾀｰ選別機</v>
          </cell>
        </row>
        <row r="914">
          <cell r="B914">
            <v>9770</v>
          </cell>
          <cell r="O914" t="str">
            <v>C</v>
          </cell>
          <cell r="P914" t="str">
            <v>日常</v>
          </cell>
          <cell r="R914" t="str">
            <v>ｺｯﾀｰ選別機</v>
          </cell>
        </row>
        <row r="915">
          <cell r="B915">
            <v>9770</v>
          </cell>
          <cell r="O915" t="str">
            <v>C</v>
          </cell>
          <cell r="P915" t="str">
            <v>日常</v>
          </cell>
          <cell r="R915" t="str">
            <v>ｺｯﾀｰ選別機</v>
          </cell>
        </row>
        <row r="916">
          <cell r="B916">
            <v>9770</v>
          </cell>
          <cell r="O916" t="str">
            <v>C</v>
          </cell>
          <cell r="P916" t="str">
            <v>日常</v>
          </cell>
          <cell r="R916" t="str">
            <v>ｺｯﾀｰ選別機</v>
          </cell>
        </row>
        <row r="917">
          <cell r="B917">
            <v>9770</v>
          </cell>
          <cell r="O917" t="str">
            <v>C</v>
          </cell>
          <cell r="P917" t="str">
            <v>日常</v>
          </cell>
          <cell r="R917" t="str">
            <v>ｺｯﾀｰ選別機</v>
          </cell>
        </row>
        <row r="918">
          <cell r="B918">
            <v>9770</v>
          </cell>
          <cell r="O918" t="str">
            <v>C</v>
          </cell>
          <cell r="P918" t="str">
            <v>日常</v>
          </cell>
          <cell r="R918" t="str">
            <v>ｺｯﾀｰ選別機</v>
          </cell>
        </row>
        <row r="919">
          <cell r="B919">
            <v>9770</v>
          </cell>
          <cell r="O919" t="str">
            <v>C</v>
          </cell>
          <cell r="P919" t="str">
            <v>日常</v>
          </cell>
          <cell r="R919" t="str">
            <v>ｺｯﾀｰ選別機</v>
          </cell>
        </row>
        <row r="920">
          <cell r="B920">
            <v>9770</v>
          </cell>
          <cell r="O920" t="str">
            <v>C</v>
          </cell>
          <cell r="P920" t="str">
            <v>日常</v>
          </cell>
          <cell r="R920" t="str">
            <v>ｺｯﾀｰ選別機</v>
          </cell>
        </row>
        <row r="921">
          <cell r="B921">
            <v>9770</v>
          </cell>
          <cell r="O921" t="str">
            <v>C</v>
          </cell>
          <cell r="P921" t="str">
            <v>日常</v>
          </cell>
          <cell r="R921" t="str">
            <v>ｺｯﾀｰ選別機</v>
          </cell>
        </row>
        <row r="922">
          <cell r="B922">
            <v>9770</v>
          </cell>
          <cell r="O922" t="str">
            <v>C</v>
          </cell>
          <cell r="P922" t="str">
            <v>日常</v>
          </cell>
          <cell r="R922" t="str">
            <v>ｺｯﾀｰ選別機</v>
          </cell>
        </row>
        <row r="923">
          <cell r="B923">
            <v>9770</v>
          </cell>
          <cell r="O923" t="str">
            <v>C</v>
          </cell>
          <cell r="P923" t="str">
            <v>日常</v>
          </cell>
          <cell r="R923" t="str">
            <v>ｺｯﾀｰ選別機</v>
          </cell>
        </row>
        <row r="924">
          <cell r="B924">
            <v>9770</v>
          </cell>
          <cell r="O924" t="str">
            <v>C</v>
          </cell>
          <cell r="P924" t="str">
            <v>日常</v>
          </cell>
          <cell r="R924" t="str">
            <v>ｺｯﾀｰ選別機</v>
          </cell>
        </row>
        <row r="925">
          <cell r="B925">
            <v>9770</v>
          </cell>
          <cell r="O925" t="str">
            <v>C</v>
          </cell>
          <cell r="P925" t="str">
            <v>日常</v>
          </cell>
          <cell r="R925" t="str">
            <v>ｺｯﾀｰ選別機</v>
          </cell>
        </row>
        <row r="926">
          <cell r="B926">
            <v>9770</v>
          </cell>
          <cell r="O926" t="str">
            <v>C</v>
          </cell>
          <cell r="P926" t="str">
            <v>日常</v>
          </cell>
          <cell r="R926" t="str">
            <v>ｺｯﾀｰ選別機</v>
          </cell>
        </row>
        <row r="927">
          <cell r="B927">
            <v>9770</v>
          </cell>
          <cell r="O927" t="str">
            <v>C</v>
          </cell>
          <cell r="P927" t="str">
            <v>日常</v>
          </cell>
          <cell r="R927" t="str">
            <v>ｱﾝｺｲﾗｰ</v>
          </cell>
        </row>
        <row r="928">
          <cell r="B928">
            <v>9770</v>
          </cell>
          <cell r="O928" t="str">
            <v>C</v>
          </cell>
          <cell r="P928" t="str">
            <v>日常</v>
          </cell>
          <cell r="R928" t="str">
            <v>ｺｯﾀｰ選別機</v>
          </cell>
        </row>
        <row r="929">
          <cell r="B929">
            <v>9770</v>
          </cell>
          <cell r="O929" t="str">
            <v>C</v>
          </cell>
          <cell r="P929" t="str">
            <v>日常</v>
          </cell>
          <cell r="R929" t="str">
            <v>ｺｯﾀｰ選別機</v>
          </cell>
        </row>
        <row r="930">
          <cell r="B930">
            <v>9770</v>
          </cell>
          <cell r="O930" t="str">
            <v>C</v>
          </cell>
          <cell r="P930" t="str">
            <v>日常</v>
          </cell>
          <cell r="R930" t="str">
            <v>ｺｯﾀｰ識別ﾏｰｷﾝｸﾞ装置</v>
          </cell>
        </row>
        <row r="932">
          <cell r="B932">
            <v>9770</v>
          </cell>
          <cell r="O932" t="str">
            <v>A</v>
          </cell>
          <cell r="P932" t="str">
            <v>法定</v>
          </cell>
          <cell r="R932" t="str">
            <v>冷鍛ﾌﾟﾚｽ</v>
          </cell>
        </row>
        <row r="933">
          <cell r="B933">
            <v>9770</v>
          </cell>
          <cell r="O933" t="str">
            <v>A</v>
          </cell>
          <cell r="P933" t="str">
            <v>法定</v>
          </cell>
          <cell r="R933" t="str">
            <v>冷鍛ﾌﾟﾚｽ</v>
          </cell>
        </row>
      </sheetData>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ＮＣＲ現行"/>
      <sheetName val="ＮＣＲ見直し版（第１変更案）"/>
      <sheetName val="第２変更案"/>
      <sheetName val="ﾘｽﾄ"/>
      <sheetName val="車種ｺｰﾄﾞﾘｽﾄ"/>
      <sheetName val="車種コード"/>
    </sheetNames>
    <sheetDataSet>
      <sheetData sheetId="0"/>
      <sheetData sheetId="1" refreshError="1"/>
      <sheetData sheetId="2" refreshError="1"/>
      <sheetData sheetId="3" refreshError="1">
        <row r="318">
          <cell r="B318" t="str">
            <v>新宮電装</v>
          </cell>
        </row>
        <row r="319">
          <cell r="B319" t="str">
            <v>松阪工場</v>
          </cell>
        </row>
        <row r="320">
          <cell r="B320" t="str">
            <v>宇ノ気工場</v>
          </cell>
        </row>
        <row r="321">
          <cell r="B321" t="str">
            <v>田鶴浜工場</v>
          </cell>
        </row>
        <row r="322">
          <cell r="B322" t="str">
            <v>大分工場</v>
          </cell>
        </row>
        <row r="323">
          <cell r="B323" t="str">
            <v>熊本工場</v>
          </cell>
        </row>
        <row r="324">
          <cell r="B324" t="str">
            <v>島根工場</v>
          </cell>
        </row>
        <row r="325">
          <cell r="B325" t="str">
            <v>岩手</v>
          </cell>
        </row>
        <row r="326">
          <cell r="B326" t="str">
            <v>ＩＷＳＰ</v>
          </cell>
        </row>
        <row r="327">
          <cell r="B327" t="str">
            <v>ＳＢＩ</v>
          </cell>
        </row>
        <row r="328">
          <cell r="B328" t="str">
            <v>ＳＥＷＴ</v>
          </cell>
        </row>
        <row r="329">
          <cell r="B329" t="str">
            <v>ＳＨＷＳ</v>
          </cell>
        </row>
        <row r="330">
          <cell r="B330" t="str">
            <v>ＭＳＳＬ</v>
          </cell>
        </row>
        <row r="331">
          <cell r="B331" t="str">
            <v>ＳＩＷＳ</v>
          </cell>
        </row>
        <row r="332">
          <cell r="B332" t="str">
            <v>ＳＤＶＮ</v>
          </cell>
        </row>
        <row r="333">
          <cell r="B333" t="str">
            <v>天津津住</v>
          </cell>
        </row>
        <row r="334">
          <cell r="B334" t="str">
            <v>蘇州住電装</v>
          </cell>
        </row>
        <row r="335">
          <cell r="B335" t="str">
            <v>岩間工業</v>
          </cell>
        </row>
        <row r="336">
          <cell r="B336" t="str">
            <v>朝明電装</v>
          </cell>
        </row>
        <row r="337">
          <cell r="B337" t="str">
            <v>中部加工所</v>
          </cell>
        </row>
        <row r="338">
          <cell r="B338" t="str">
            <v>多度電装</v>
          </cell>
        </row>
        <row r="339">
          <cell r="B339" t="str">
            <v>製造課</v>
          </cell>
        </row>
        <row r="340">
          <cell r="B340" t="str">
            <v>西1・生産技術部</v>
          </cell>
        </row>
        <row r="341">
          <cell r="B341" t="str">
            <v>西1・生産管理部</v>
          </cell>
        </row>
        <row r="342">
          <cell r="B342" t="str">
            <v>第一開技部</v>
          </cell>
        </row>
        <row r="343">
          <cell r="B343" t="str">
            <v>第二開技部</v>
          </cell>
        </row>
        <row r="344">
          <cell r="B344" t="str">
            <v>ＭＧＣ</v>
          </cell>
        </row>
        <row r="345">
          <cell r="B345" t="str">
            <v>ＫＧＣ</v>
          </cell>
        </row>
        <row r="346">
          <cell r="B346" t="str">
            <v>ＴＫＧＣ</v>
          </cell>
        </row>
        <row r="347">
          <cell r="B347" t="str">
            <v>ＴＧＣ</v>
          </cell>
        </row>
        <row r="348">
          <cell r="B348" t="str">
            <v>ＨＧＣ</v>
          </cell>
        </row>
        <row r="349">
          <cell r="B349" t="str">
            <v>SEI</v>
          </cell>
        </row>
        <row r="350">
          <cell r="B350" t="str">
            <v>フコク物産</v>
          </cell>
        </row>
        <row r="351">
          <cell r="B351" t="str">
            <v>組立</v>
          </cell>
        </row>
        <row r="352">
          <cell r="B352" t="str">
            <v>試作</v>
          </cell>
        </row>
        <row r="353">
          <cell r="B353" t="str">
            <v>四日市</v>
          </cell>
        </row>
        <row r="354">
          <cell r="B354" t="str">
            <v>松阪</v>
          </cell>
        </row>
        <row r="355">
          <cell r="B355" t="str">
            <v>金沢</v>
          </cell>
        </row>
        <row r="356">
          <cell r="B356" t="str">
            <v>ＳＷＳＭ</v>
          </cell>
        </row>
        <row r="357">
          <cell r="B357" t="str">
            <v>塩浜物流</v>
          </cell>
        </row>
        <row r="358">
          <cell r="B358" t="str">
            <v>豊田物流</v>
          </cell>
        </row>
        <row r="359">
          <cell r="B359" t="str">
            <v>浜松物流</v>
          </cell>
        </row>
        <row r="360">
          <cell r="B360" t="str">
            <v>九州物流</v>
          </cell>
        </row>
        <row r="361">
          <cell r="B361" t="str">
            <v>新門司物流</v>
          </cell>
        </row>
        <row r="362">
          <cell r="B362" t="str">
            <v>東北物流</v>
          </cell>
        </row>
        <row r="363">
          <cell r="B363" t="str">
            <v>不明</v>
          </cell>
        </row>
        <row r="430">
          <cell r="B430" t="str">
            <v>内部</v>
          </cell>
        </row>
        <row r="431">
          <cell r="B431" t="str">
            <v>外部</v>
          </cell>
        </row>
      </sheetData>
      <sheetData sheetId="4" refreshError="1">
        <row r="3">
          <cell r="B3" t="str">
            <v>067N</v>
          </cell>
        </row>
        <row r="4">
          <cell r="B4" t="str">
            <v>067W</v>
          </cell>
        </row>
        <row r="5">
          <cell r="B5" t="str">
            <v>120W</v>
          </cell>
        </row>
        <row r="6">
          <cell r="B6" t="str">
            <v>128W</v>
          </cell>
        </row>
        <row r="7">
          <cell r="B7" t="str">
            <v>130W</v>
          </cell>
        </row>
        <row r="8">
          <cell r="B8" t="str">
            <v>132W</v>
          </cell>
        </row>
        <row r="9">
          <cell r="B9" t="str">
            <v>136W</v>
          </cell>
        </row>
        <row r="10">
          <cell r="B10" t="str">
            <v>139W</v>
          </cell>
        </row>
        <row r="11">
          <cell r="B11" t="str">
            <v>150W</v>
          </cell>
        </row>
        <row r="12">
          <cell r="B12" t="str">
            <v>153W</v>
          </cell>
        </row>
        <row r="13">
          <cell r="B13" t="str">
            <v>156W</v>
          </cell>
        </row>
        <row r="14">
          <cell r="B14" t="str">
            <v>164W</v>
          </cell>
        </row>
        <row r="15">
          <cell r="B15" t="str">
            <v>166W</v>
          </cell>
        </row>
        <row r="16">
          <cell r="B16" t="str">
            <v>169W</v>
          </cell>
        </row>
        <row r="17">
          <cell r="B17" t="str">
            <v>171W</v>
          </cell>
        </row>
        <row r="18">
          <cell r="B18" t="str">
            <v>176W</v>
          </cell>
        </row>
        <row r="19">
          <cell r="B19" t="str">
            <v>178W</v>
          </cell>
        </row>
        <row r="20">
          <cell r="B20" t="str">
            <v>182W</v>
          </cell>
        </row>
        <row r="21">
          <cell r="B21" t="str">
            <v>183W</v>
          </cell>
        </row>
        <row r="22">
          <cell r="B22" t="str">
            <v>185W</v>
          </cell>
        </row>
        <row r="23">
          <cell r="B23" t="str">
            <v>188W</v>
          </cell>
        </row>
        <row r="24">
          <cell r="B24" t="str">
            <v>190W</v>
          </cell>
        </row>
        <row r="25">
          <cell r="B25" t="str">
            <v>193W</v>
          </cell>
        </row>
        <row r="26">
          <cell r="B26" t="str">
            <v>195W</v>
          </cell>
        </row>
        <row r="27">
          <cell r="B27" t="str">
            <v>199W</v>
          </cell>
        </row>
        <row r="28">
          <cell r="B28" t="str">
            <v>200W</v>
          </cell>
        </row>
        <row r="29">
          <cell r="B29" t="str">
            <v>203W</v>
          </cell>
        </row>
        <row r="30">
          <cell r="B30" t="str">
            <v>209W</v>
          </cell>
        </row>
        <row r="31">
          <cell r="B31" t="str">
            <v>212W</v>
          </cell>
        </row>
        <row r="32">
          <cell r="B32" t="str">
            <v>215W</v>
          </cell>
        </row>
        <row r="33">
          <cell r="B33" t="str">
            <v>216W</v>
          </cell>
        </row>
        <row r="34">
          <cell r="B34" t="str">
            <v>217W</v>
          </cell>
        </row>
        <row r="35">
          <cell r="B35" t="str">
            <v>222W</v>
          </cell>
        </row>
        <row r="36">
          <cell r="B36" t="str">
            <v>223W</v>
          </cell>
        </row>
        <row r="37">
          <cell r="B37" t="str">
            <v>226W</v>
          </cell>
        </row>
        <row r="38">
          <cell r="B38" t="str">
            <v>229W</v>
          </cell>
        </row>
        <row r="39">
          <cell r="B39" t="str">
            <v>233W</v>
          </cell>
        </row>
        <row r="40">
          <cell r="B40" t="str">
            <v>234W</v>
          </cell>
        </row>
        <row r="41">
          <cell r="B41" t="str">
            <v>235W</v>
          </cell>
        </row>
        <row r="42">
          <cell r="B42" t="str">
            <v>243W</v>
          </cell>
        </row>
        <row r="43">
          <cell r="B43" t="str">
            <v>244W</v>
          </cell>
        </row>
        <row r="44">
          <cell r="B44" t="str">
            <v>248W</v>
          </cell>
        </row>
        <row r="45">
          <cell r="B45" t="str">
            <v>251W</v>
          </cell>
        </row>
        <row r="46">
          <cell r="B46" t="str">
            <v>252W</v>
          </cell>
        </row>
        <row r="47">
          <cell r="B47" t="str">
            <v>254W</v>
          </cell>
        </row>
        <row r="48">
          <cell r="B48" t="str">
            <v>263W</v>
          </cell>
        </row>
        <row r="49">
          <cell r="B49" t="str">
            <v>264W</v>
          </cell>
        </row>
        <row r="50">
          <cell r="B50" t="str">
            <v>271W</v>
          </cell>
        </row>
        <row r="51">
          <cell r="B51" t="str">
            <v>274W</v>
          </cell>
        </row>
        <row r="52">
          <cell r="B52" t="str">
            <v>275W</v>
          </cell>
        </row>
        <row r="53">
          <cell r="B53" t="str">
            <v>255W</v>
          </cell>
        </row>
        <row r="54">
          <cell r="B54" t="str">
            <v>256W</v>
          </cell>
        </row>
        <row r="55">
          <cell r="B55" t="str">
            <v>257W</v>
          </cell>
        </row>
        <row r="56">
          <cell r="B56" t="str">
            <v>286W</v>
          </cell>
        </row>
        <row r="57">
          <cell r="B57" t="str">
            <v>294W</v>
          </cell>
        </row>
        <row r="58">
          <cell r="B58" t="str">
            <v>307W</v>
          </cell>
        </row>
        <row r="59">
          <cell r="B59" t="str">
            <v>308W</v>
          </cell>
        </row>
        <row r="60">
          <cell r="B60" t="str">
            <v>309W</v>
          </cell>
        </row>
        <row r="61">
          <cell r="B61" t="str">
            <v>310W</v>
          </cell>
        </row>
        <row r="62">
          <cell r="B62" t="str">
            <v>311W</v>
          </cell>
        </row>
        <row r="63">
          <cell r="B63" t="str">
            <v>315W</v>
          </cell>
        </row>
        <row r="64">
          <cell r="B64" t="str">
            <v>316W</v>
          </cell>
        </row>
        <row r="65">
          <cell r="B65" t="str">
            <v>318W</v>
          </cell>
        </row>
        <row r="66">
          <cell r="B66" t="str">
            <v>319W</v>
          </cell>
        </row>
        <row r="67">
          <cell r="B67" t="str">
            <v>323W</v>
          </cell>
        </row>
        <row r="68">
          <cell r="B68" t="str">
            <v>328W</v>
          </cell>
        </row>
        <row r="69">
          <cell r="B69" t="str">
            <v>330W</v>
          </cell>
        </row>
        <row r="70">
          <cell r="B70" t="str">
            <v>335W</v>
          </cell>
        </row>
        <row r="71">
          <cell r="B71" t="str">
            <v>336W</v>
          </cell>
        </row>
        <row r="72">
          <cell r="B72" t="str">
            <v>337W</v>
          </cell>
        </row>
        <row r="73">
          <cell r="B73" t="str">
            <v>338W</v>
          </cell>
        </row>
        <row r="74">
          <cell r="B74" t="str">
            <v>339W</v>
          </cell>
        </row>
        <row r="75">
          <cell r="B75" t="str">
            <v>340W</v>
          </cell>
        </row>
        <row r="76">
          <cell r="B76" t="str">
            <v>341W</v>
          </cell>
        </row>
        <row r="77">
          <cell r="B77" t="str">
            <v>343W</v>
          </cell>
        </row>
        <row r="78">
          <cell r="B78" t="str">
            <v>346W</v>
          </cell>
        </row>
        <row r="79">
          <cell r="B79" t="str">
            <v>350W</v>
          </cell>
        </row>
        <row r="80">
          <cell r="B80" t="str">
            <v>354W</v>
          </cell>
        </row>
        <row r="81">
          <cell r="B81" t="str">
            <v>355W</v>
          </cell>
        </row>
        <row r="82">
          <cell r="B82" t="str">
            <v>367W</v>
          </cell>
        </row>
        <row r="83">
          <cell r="B83" t="str">
            <v>368W</v>
          </cell>
        </row>
        <row r="84">
          <cell r="B84" t="str">
            <v>372W</v>
          </cell>
        </row>
        <row r="85">
          <cell r="B85" t="str">
            <v>386W</v>
          </cell>
        </row>
        <row r="86">
          <cell r="B86" t="str">
            <v>395W</v>
          </cell>
        </row>
        <row r="87">
          <cell r="B87" t="str">
            <v>396W</v>
          </cell>
        </row>
        <row r="88">
          <cell r="B88" t="str">
            <v>398N</v>
          </cell>
        </row>
        <row r="89">
          <cell r="B89" t="str">
            <v>399W</v>
          </cell>
        </row>
        <row r="90">
          <cell r="B90" t="str">
            <v>401W</v>
          </cell>
        </row>
        <row r="91">
          <cell r="B91" t="str">
            <v>403W</v>
          </cell>
        </row>
        <row r="92">
          <cell r="B92" t="str">
            <v>406W</v>
          </cell>
        </row>
        <row r="93">
          <cell r="B93" t="str">
            <v>407W</v>
          </cell>
        </row>
        <row r="94">
          <cell r="B94" t="str">
            <v>421W</v>
          </cell>
        </row>
        <row r="95">
          <cell r="B95" t="str">
            <v>425W</v>
          </cell>
        </row>
        <row r="96">
          <cell r="B96" t="str">
            <v>426W</v>
          </cell>
        </row>
        <row r="97">
          <cell r="B97" t="str">
            <v>428W</v>
          </cell>
        </row>
        <row r="98">
          <cell r="B98" t="str">
            <v>430W</v>
          </cell>
        </row>
        <row r="99">
          <cell r="B99" t="str">
            <v>432W</v>
          </cell>
        </row>
        <row r="100">
          <cell r="B100" t="str">
            <v>450W</v>
          </cell>
        </row>
        <row r="101">
          <cell r="B101" t="str">
            <v>462W</v>
          </cell>
        </row>
        <row r="102">
          <cell r="B102" t="str">
            <v>480N</v>
          </cell>
        </row>
        <row r="103">
          <cell r="B103" t="str">
            <v>530N</v>
          </cell>
        </row>
        <row r="104">
          <cell r="B104" t="str">
            <v>619G</v>
          </cell>
        </row>
        <row r="105">
          <cell r="B105" t="str">
            <v>627L</v>
          </cell>
        </row>
        <row r="106">
          <cell r="B106" t="str">
            <v>630L</v>
          </cell>
        </row>
        <row r="107">
          <cell r="B107" t="str">
            <v>664L</v>
          </cell>
        </row>
        <row r="108">
          <cell r="B108" t="str">
            <v>681N</v>
          </cell>
        </row>
        <row r="109">
          <cell r="B109" t="str">
            <v>714N</v>
          </cell>
        </row>
        <row r="110">
          <cell r="B110" t="str">
            <v>718N</v>
          </cell>
        </row>
        <row r="111">
          <cell r="B111" t="str">
            <v>743L</v>
          </cell>
        </row>
        <row r="112">
          <cell r="B112" t="str">
            <v>760N</v>
          </cell>
        </row>
        <row r="113">
          <cell r="B113" t="str">
            <v>765L</v>
          </cell>
        </row>
        <row r="114">
          <cell r="B114" t="str">
            <v>786L</v>
          </cell>
        </row>
        <row r="115">
          <cell r="B115" t="str">
            <v>808N</v>
          </cell>
        </row>
        <row r="116">
          <cell r="B116" t="str">
            <v>863L</v>
          </cell>
        </row>
        <row r="117">
          <cell r="B117" t="str">
            <v>908L</v>
          </cell>
        </row>
        <row r="118">
          <cell r="B118" t="str">
            <v>007</v>
          </cell>
        </row>
        <row r="119">
          <cell r="B119" t="str">
            <v>161</v>
          </cell>
        </row>
        <row r="120">
          <cell r="B120" t="str">
            <v>Y161</v>
          </cell>
        </row>
        <row r="121">
          <cell r="B121" t="str">
            <v>183</v>
          </cell>
        </row>
        <row r="122">
          <cell r="B122" t="str">
            <v>Y183</v>
          </cell>
        </row>
        <row r="123">
          <cell r="B123" t="str">
            <v>188</v>
          </cell>
        </row>
        <row r="124">
          <cell r="B124" t="str">
            <v>Y188</v>
          </cell>
        </row>
        <row r="125">
          <cell r="B125" t="str">
            <v>Y120</v>
          </cell>
        </row>
        <row r="126">
          <cell r="B126" t="str">
            <v>Y830</v>
          </cell>
        </row>
        <row r="127">
          <cell r="B127" t="str">
            <v>bus</v>
          </cell>
        </row>
        <row r="128">
          <cell r="B128" t="str">
            <v>D01G</v>
          </cell>
        </row>
        <row r="129">
          <cell r="B129" t="str">
            <v>D04A</v>
          </cell>
        </row>
        <row r="130">
          <cell r="B130" t="str">
            <v>D10A</v>
          </cell>
        </row>
        <row r="131">
          <cell r="B131" t="str">
            <v>D17G</v>
          </cell>
        </row>
        <row r="132">
          <cell r="B132" t="str">
            <v>D30G</v>
          </cell>
        </row>
        <row r="133">
          <cell r="B133" t="str">
            <v>D45D</v>
          </cell>
        </row>
        <row r="134">
          <cell r="B134" t="str">
            <v>D46G</v>
          </cell>
        </row>
        <row r="135">
          <cell r="B135" t="str">
            <v>D50G</v>
          </cell>
        </row>
        <row r="136">
          <cell r="B136" t="str">
            <v>D52G</v>
          </cell>
        </row>
        <row r="137">
          <cell r="B137" t="str">
            <v>D58B</v>
          </cell>
        </row>
        <row r="138">
          <cell r="B138" t="str">
            <v>D777</v>
          </cell>
        </row>
        <row r="139">
          <cell r="B139" t="str">
            <v>D79A</v>
          </cell>
        </row>
        <row r="140">
          <cell r="B140" t="str">
            <v>D41G</v>
          </cell>
        </row>
        <row r="141">
          <cell r="B141" t="str">
            <v>X721</v>
          </cell>
        </row>
        <row r="142">
          <cell r="B142" t="str">
            <v>X777</v>
          </cell>
        </row>
        <row r="143">
          <cell r="B143" t="str">
            <v>YB1</v>
          </cell>
        </row>
        <row r="144">
          <cell r="B144" t="str">
            <v>YB2</v>
          </cell>
        </row>
        <row r="145">
          <cell r="B145" t="str">
            <v>YB7</v>
          </cell>
        </row>
        <row r="146">
          <cell r="B146" t="str">
            <v>YC3</v>
          </cell>
        </row>
        <row r="147">
          <cell r="B147" t="str">
            <v>YG0</v>
          </cell>
        </row>
        <row r="148">
          <cell r="B148" t="str">
            <v>YJ0</v>
          </cell>
        </row>
        <row r="149">
          <cell r="B149" t="str">
            <v>YH0</v>
          </cell>
        </row>
        <row r="150">
          <cell r="B150" t="str">
            <v>YH4</v>
          </cell>
        </row>
        <row r="151">
          <cell r="B151" t="str">
            <v>YK1</v>
          </cell>
        </row>
        <row r="152">
          <cell r="B152" t="str">
            <v>YK2</v>
          </cell>
        </row>
        <row r="153">
          <cell r="B153" t="str">
            <v>YM0</v>
          </cell>
        </row>
        <row r="154">
          <cell r="B154" t="str">
            <v>YN3</v>
          </cell>
        </row>
        <row r="155">
          <cell r="B155" t="str">
            <v>YP0</v>
          </cell>
        </row>
        <row r="156">
          <cell r="B156" t="str">
            <v>YR0</v>
          </cell>
        </row>
        <row r="157">
          <cell r="B157" t="str">
            <v>YS6</v>
          </cell>
        </row>
        <row r="158">
          <cell r="B158" t="str">
            <v>YS7</v>
          </cell>
        </row>
        <row r="159">
          <cell r="B159" t="str">
            <v>YY3</v>
          </cell>
        </row>
        <row r="160">
          <cell r="B160" t="str">
            <v>YT2</v>
          </cell>
        </row>
        <row r="161">
          <cell r="B161" t="str">
            <v>二輪</v>
          </cell>
        </row>
        <row r="162">
          <cell r="B162" t="str">
            <v>JHT10B</v>
          </cell>
        </row>
        <row r="163">
          <cell r="B163" t="str">
            <v>ER500C</v>
          </cell>
        </row>
        <row r="164">
          <cell r="B164" t="str">
            <v>VNT50</v>
          </cell>
        </row>
        <row r="165">
          <cell r="B165" t="str">
            <v>VNW000A</v>
          </cell>
        </row>
        <row r="166">
          <cell r="B166" t="str">
            <v>VNT60D</v>
          </cell>
        </row>
        <row r="167">
          <cell r="B167" t="str">
            <v>ZRT10A</v>
          </cell>
        </row>
        <row r="168">
          <cell r="B168" t="str">
            <v>FD750</v>
          </cell>
        </row>
        <row r="169">
          <cell r="B169" t="str">
            <v>ZR750</v>
          </cell>
        </row>
        <row r="170">
          <cell r="B170" t="str">
            <v>032B</v>
          </cell>
        </row>
        <row r="171">
          <cell r="B171" t="str">
            <v>ZXT20C</v>
          </cell>
        </row>
        <row r="172">
          <cell r="B172" t="str">
            <v>FD620</v>
          </cell>
        </row>
        <row r="173">
          <cell r="B173" t="str">
            <v>JT41</v>
          </cell>
        </row>
        <row r="174">
          <cell r="B174" t="str">
            <v>JT45</v>
          </cell>
        </row>
        <row r="175">
          <cell r="B175" t="str">
            <v>FK</v>
          </cell>
        </row>
        <row r="176">
          <cell r="B176" t="str">
            <v>FKZ</v>
          </cell>
        </row>
        <row r="177">
          <cell r="B177" t="str">
            <v>CBZ</v>
          </cell>
        </row>
        <row r="178">
          <cell r="B178" t="str">
            <v>CB</v>
          </cell>
        </row>
        <row r="179">
          <cell r="B179" t="str">
            <v>TQ</v>
          </cell>
        </row>
        <row r="180">
          <cell r="B180" t="str">
            <v>TQ MiEV</v>
          </cell>
        </row>
        <row r="181">
          <cell r="B181" t="str">
            <v>J16E</v>
          </cell>
        </row>
        <row r="182">
          <cell r="B182" t="str">
            <v>J16L</v>
          </cell>
        </row>
        <row r="183">
          <cell r="B183" t="str">
            <v>J37E</v>
          </cell>
        </row>
        <row r="184">
          <cell r="B184" t="str">
            <v>P11C</v>
          </cell>
        </row>
        <row r="185">
          <cell r="B185" t="str">
            <v>210</v>
          </cell>
        </row>
        <row r="186">
          <cell r="B186" t="str">
            <v>Y210</v>
          </cell>
        </row>
        <row r="187">
          <cell r="B187" t="str">
            <v>J37S</v>
          </cell>
        </row>
        <row r="188">
          <cell r="B188" t="str">
            <v>J68C</v>
          </cell>
        </row>
      </sheetData>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フォーマット説明"/>
      <sheetName val="計画作成手順"/>
      <sheetName val="時間出来高"/>
      <sheetName val="工事時間"/>
      <sheetName val="稼動計画"/>
      <sheetName val="印刷用"/>
      <sheetName val="計画アイテム"/>
      <sheetName val="フェースライン別計画数"/>
      <sheetName val="ラインアイテム"/>
      <sheetName val="連続流動禁止"/>
      <sheetName val="ライン別アイテム設定"/>
      <sheetName val="PROFIL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藤沢・本"/>
      <sheetName val="静岡・本"/>
      <sheetName val="ＰＴ"/>
      <sheetName val="５・本（鍛造）"/>
      <sheetName val="５_本_鍛造_"/>
      <sheetName val="長期計画"/>
      <sheetName val="仕入先"/>
    </sheetNames>
    <sheetDataSet>
      <sheetData sheetId="0"/>
      <sheetData sheetId="1"/>
      <sheetData sheetId="2"/>
      <sheetData sheetId="3">
        <row r="2">
          <cell r="A2" t="str">
            <v>8410</v>
          </cell>
          <cell r="B2" t="str">
            <v>019400520</v>
          </cell>
          <cell r="C2">
            <v>364000</v>
          </cell>
          <cell r="D2">
            <v>0</v>
          </cell>
          <cell r="E2">
            <v>0</v>
          </cell>
          <cell r="F2">
            <v>148000</v>
          </cell>
          <cell r="G2">
            <v>120000</v>
          </cell>
          <cell r="H2">
            <v>96000</v>
          </cell>
          <cell r="I2">
            <v>0</v>
          </cell>
          <cell r="J2">
            <v>0</v>
          </cell>
          <cell r="K2">
            <v>0</v>
          </cell>
          <cell r="L2">
            <v>0</v>
          </cell>
          <cell r="M2">
            <v>0</v>
          </cell>
          <cell r="N2">
            <v>0</v>
          </cell>
        </row>
        <row r="3">
          <cell r="A3" t="str">
            <v>8410</v>
          </cell>
          <cell r="B3" t="str">
            <v>019400530</v>
          </cell>
          <cell r="C3">
            <v>356000</v>
          </cell>
          <cell r="D3">
            <v>0</v>
          </cell>
          <cell r="E3">
            <v>0</v>
          </cell>
          <cell r="F3">
            <v>140000</v>
          </cell>
          <cell r="G3">
            <v>120000</v>
          </cell>
          <cell r="H3">
            <v>96000</v>
          </cell>
          <cell r="I3">
            <v>0</v>
          </cell>
          <cell r="J3">
            <v>0</v>
          </cell>
          <cell r="K3">
            <v>0</v>
          </cell>
          <cell r="L3">
            <v>0</v>
          </cell>
          <cell r="M3">
            <v>0</v>
          </cell>
          <cell r="N3">
            <v>0</v>
          </cell>
        </row>
        <row r="4">
          <cell r="A4" t="str">
            <v>8410</v>
          </cell>
          <cell r="B4" t="str">
            <v>019400510</v>
          </cell>
          <cell r="C4">
            <v>348000</v>
          </cell>
          <cell r="D4">
            <v>0</v>
          </cell>
          <cell r="E4">
            <v>0</v>
          </cell>
          <cell r="F4">
            <v>132000</v>
          </cell>
          <cell r="G4">
            <v>120000</v>
          </cell>
          <cell r="H4">
            <v>96000</v>
          </cell>
          <cell r="I4">
            <v>0</v>
          </cell>
          <cell r="J4">
            <v>0</v>
          </cell>
          <cell r="K4">
            <v>0</v>
          </cell>
          <cell r="L4">
            <v>0</v>
          </cell>
          <cell r="M4">
            <v>0</v>
          </cell>
          <cell r="N4">
            <v>0</v>
          </cell>
        </row>
        <row r="5">
          <cell r="A5" t="str">
            <v>9410</v>
          </cell>
          <cell r="B5" t="str">
            <v>015503010</v>
          </cell>
          <cell r="C5">
            <v>326400</v>
          </cell>
          <cell r="D5">
            <v>446400</v>
          </cell>
          <cell r="E5">
            <v>316800</v>
          </cell>
          <cell r="F5">
            <v>72000</v>
          </cell>
          <cell r="G5">
            <v>165600</v>
          </cell>
          <cell r="H5">
            <v>88800</v>
          </cell>
          <cell r="I5">
            <v>187200</v>
          </cell>
          <cell r="J5">
            <v>158400</v>
          </cell>
          <cell r="K5">
            <v>100800</v>
          </cell>
          <cell r="L5">
            <v>129600</v>
          </cell>
          <cell r="M5">
            <v>115200</v>
          </cell>
          <cell r="N5">
            <v>72000</v>
          </cell>
        </row>
        <row r="6">
          <cell r="A6" t="str">
            <v>8410</v>
          </cell>
          <cell r="B6" t="str">
            <v>019400500</v>
          </cell>
          <cell r="C6">
            <v>324000</v>
          </cell>
          <cell r="D6">
            <v>0</v>
          </cell>
          <cell r="E6">
            <v>0</v>
          </cell>
          <cell r="F6">
            <v>108000</v>
          </cell>
          <cell r="G6">
            <v>120000</v>
          </cell>
          <cell r="H6">
            <v>96000</v>
          </cell>
          <cell r="I6">
            <v>0</v>
          </cell>
          <cell r="J6">
            <v>0</v>
          </cell>
          <cell r="K6">
            <v>0</v>
          </cell>
          <cell r="L6">
            <v>0</v>
          </cell>
          <cell r="M6">
            <v>0</v>
          </cell>
          <cell r="N6">
            <v>0</v>
          </cell>
        </row>
        <row r="7">
          <cell r="A7" t="str">
            <v>9410</v>
          </cell>
          <cell r="B7" t="str">
            <v>014702901</v>
          </cell>
          <cell r="C7">
            <v>309600</v>
          </cell>
          <cell r="D7">
            <v>417600</v>
          </cell>
          <cell r="E7">
            <v>331200</v>
          </cell>
          <cell r="F7">
            <v>100800</v>
          </cell>
          <cell r="G7">
            <v>129600</v>
          </cell>
          <cell r="H7">
            <v>79200</v>
          </cell>
          <cell r="I7">
            <v>144000</v>
          </cell>
          <cell r="J7">
            <v>144000</v>
          </cell>
          <cell r="K7">
            <v>129600</v>
          </cell>
          <cell r="L7">
            <v>144000</v>
          </cell>
          <cell r="M7">
            <v>86400</v>
          </cell>
          <cell r="N7">
            <v>100800</v>
          </cell>
        </row>
        <row r="8">
          <cell r="A8" t="str">
            <v>9410</v>
          </cell>
          <cell r="B8" t="str">
            <v>014702892</v>
          </cell>
          <cell r="C8">
            <v>273600</v>
          </cell>
          <cell r="D8">
            <v>417600</v>
          </cell>
          <cell r="E8">
            <v>360000</v>
          </cell>
          <cell r="F8">
            <v>100800</v>
          </cell>
          <cell r="G8">
            <v>129600</v>
          </cell>
          <cell r="H8">
            <v>43200</v>
          </cell>
          <cell r="I8">
            <v>172800</v>
          </cell>
          <cell r="J8">
            <v>144000</v>
          </cell>
          <cell r="K8">
            <v>100800</v>
          </cell>
          <cell r="L8">
            <v>144000</v>
          </cell>
          <cell r="M8">
            <v>144000</v>
          </cell>
          <cell r="N8">
            <v>72000</v>
          </cell>
        </row>
        <row r="9">
          <cell r="A9" t="str">
            <v>9410</v>
          </cell>
          <cell r="B9" t="str">
            <v>013809190</v>
          </cell>
          <cell r="C9">
            <v>268800</v>
          </cell>
          <cell r="D9">
            <v>388800</v>
          </cell>
          <cell r="E9">
            <v>345600</v>
          </cell>
          <cell r="F9">
            <v>52800</v>
          </cell>
          <cell r="G9">
            <v>144000</v>
          </cell>
          <cell r="H9">
            <v>72000</v>
          </cell>
          <cell r="I9">
            <v>172800</v>
          </cell>
          <cell r="J9">
            <v>129600</v>
          </cell>
          <cell r="K9">
            <v>86400</v>
          </cell>
          <cell r="L9">
            <v>144000</v>
          </cell>
          <cell r="M9">
            <v>129600</v>
          </cell>
          <cell r="N9">
            <v>72000</v>
          </cell>
        </row>
        <row r="10">
          <cell r="A10" t="str">
            <v>9410</v>
          </cell>
          <cell r="B10" t="str">
            <v>013809220</v>
          </cell>
          <cell r="C10">
            <v>247200</v>
          </cell>
          <cell r="D10">
            <v>417200</v>
          </cell>
          <cell r="E10">
            <v>316800</v>
          </cell>
          <cell r="F10">
            <v>50400</v>
          </cell>
          <cell r="G10">
            <v>144000</v>
          </cell>
          <cell r="H10">
            <v>52800</v>
          </cell>
          <cell r="I10">
            <v>144000</v>
          </cell>
          <cell r="J10">
            <v>144000</v>
          </cell>
          <cell r="K10">
            <v>129200</v>
          </cell>
          <cell r="L10">
            <v>115200</v>
          </cell>
          <cell r="M10">
            <v>129600</v>
          </cell>
          <cell r="N10">
            <v>72000</v>
          </cell>
        </row>
        <row r="11">
          <cell r="A11" t="str">
            <v>9410</v>
          </cell>
          <cell r="B11" t="str">
            <v>019400200</v>
          </cell>
          <cell r="C11">
            <v>142600</v>
          </cell>
          <cell r="D11">
            <v>144000</v>
          </cell>
          <cell r="E11">
            <v>120000</v>
          </cell>
          <cell r="F11">
            <v>46600</v>
          </cell>
          <cell r="G11">
            <v>36000</v>
          </cell>
          <cell r="H11">
            <v>60000</v>
          </cell>
          <cell r="I11">
            <v>36000</v>
          </cell>
          <cell r="J11">
            <v>72000</v>
          </cell>
          <cell r="K11">
            <v>36000</v>
          </cell>
          <cell r="L11">
            <v>72000</v>
          </cell>
          <cell r="M11">
            <v>24000</v>
          </cell>
          <cell r="N11">
            <v>24000</v>
          </cell>
        </row>
        <row r="12">
          <cell r="A12" t="str">
            <v>9410</v>
          </cell>
          <cell r="B12" t="str">
            <v>013808910</v>
          </cell>
          <cell r="C12">
            <v>134400</v>
          </cell>
          <cell r="D12">
            <v>100800</v>
          </cell>
          <cell r="E12">
            <v>129600</v>
          </cell>
          <cell r="F12">
            <v>33600</v>
          </cell>
          <cell r="G12">
            <v>100800</v>
          </cell>
          <cell r="H12">
            <v>0</v>
          </cell>
          <cell r="I12">
            <v>0</v>
          </cell>
          <cell r="J12">
            <v>100800</v>
          </cell>
          <cell r="K12">
            <v>0</v>
          </cell>
          <cell r="L12">
            <v>0</v>
          </cell>
          <cell r="M12">
            <v>129600</v>
          </cell>
          <cell r="N12">
            <v>0</v>
          </cell>
        </row>
        <row r="13">
          <cell r="A13" t="str">
            <v>9410</v>
          </cell>
          <cell r="B13" t="str">
            <v>013808520</v>
          </cell>
          <cell r="C13">
            <v>122400</v>
          </cell>
          <cell r="D13">
            <v>172800</v>
          </cell>
          <cell r="E13">
            <v>172800</v>
          </cell>
          <cell r="F13">
            <v>43200</v>
          </cell>
          <cell r="G13">
            <v>55200</v>
          </cell>
          <cell r="H13">
            <v>24000</v>
          </cell>
          <cell r="I13">
            <v>57600</v>
          </cell>
          <cell r="J13">
            <v>72000</v>
          </cell>
          <cell r="K13">
            <v>43200</v>
          </cell>
          <cell r="L13">
            <v>57600</v>
          </cell>
          <cell r="M13">
            <v>72000</v>
          </cell>
          <cell r="N13">
            <v>43200</v>
          </cell>
        </row>
        <row r="14">
          <cell r="A14" t="str">
            <v>9410</v>
          </cell>
          <cell r="B14" t="str">
            <v>014703270</v>
          </cell>
          <cell r="C14">
            <v>122400</v>
          </cell>
          <cell r="D14">
            <v>144000</v>
          </cell>
          <cell r="E14">
            <v>115200</v>
          </cell>
          <cell r="F14">
            <v>28800</v>
          </cell>
          <cell r="G14">
            <v>43200</v>
          </cell>
          <cell r="H14">
            <v>50400</v>
          </cell>
          <cell r="I14">
            <v>57600</v>
          </cell>
          <cell r="J14">
            <v>43200</v>
          </cell>
          <cell r="K14">
            <v>43200</v>
          </cell>
          <cell r="L14">
            <v>43200</v>
          </cell>
          <cell r="M14">
            <v>43200</v>
          </cell>
          <cell r="N14">
            <v>28800</v>
          </cell>
        </row>
        <row r="15">
          <cell r="A15" t="str">
            <v>9410</v>
          </cell>
          <cell r="B15" t="str">
            <v>010602152</v>
          </cell>
          <cell r="C15">
            <v>110400</v>
          </cell>
          <cell r="D15">
            <v>141600</v>
          </cell>
          <cell r="E15">
            <v>124800</v>
          </cell>
          <cell r="F15">
            <v>33600</v>
          </cell>
          <cell r="G15">
            <v>28800</v>
          </cell>
          <cell r="H15">
            <v>48000</v>
          </cell>
          <cell r="I15">
            <v>55200</v>
          </cell>
          <cell r="J15">
            <v>57600</v>
          </cell>
          <cell r="K15">
            <v>28800</v>
          </cell>
          <cell r="L15">
            <v>57600</v>
          </cell>
          <cell r="M15">
            <v>43200</v>
          </cell>
          <cell r="N15">
            <v>24000</v>
          </cell>
        </row>
        <row r="16">
          <cell r="A16" t="str">
            <v>9410</v>
          </cell>
          <cell r="B16" t="str">
            <v>014702950</v>
          </cell>
          <cell r="C16">
            <v>105958</v>
          </cell>
          <cell r="D16">
            <v>172800</v>
          </cell>
          <cell r="E16">
            <v>100800</v>
          </cell>
          <cell r="F16">
            <v>29158</v>
          </cell>
          <cell r="G16">
            <v>57600</v>
          </cell>
          <cell r="H16">
            <v>19200</v>
          </cell>
          <cell r="I16">
            <v>72000</v>
          </cell>
          <cell r="J16">
            <v>57600</v>
          </cell>
          <cell r="K16">
            <v>43200</v>
          </cell>
          <cell r="L16">
            <v>43200</v>
          </cell>
          <cell r="M16">
            <v>28800</v>
          </cell>
          <cell r="N16">
            <v>28800</v>
          </cell>
        </row>
        <row r="17">
          <cell r="A17" t="str">
            <v>9410</v>
          </cell>
          <cell r="B17" t="str">
            <v>013808550</v>
          </cell>
          <cell r="C17">
            <v>100800</v>
          </cell>
          <cell r="D17">
            <v>187200</v>
          </cell>
          <cell r="E17">
            <v>158400</v>
          </cell>
          <cell r="F17">
            <v>28800</v>
          </cell>
          <cell r="G17">
            <v>43200</v>
          </cell>
          <cell r="H17">
            <v>28800</v>
          </cell>
          <cell r="I17">
            <v>57600</v>
          </cell>
          <cell r="J17">
            <v>86400</v>
          </cell>
          <cell r="K17">
            <v>43200</v>
          </cell>
          <cell r="L17">
            <v>57600</v>
          </cell>
          <cell r="M17">
            <v>57600</v>
          </cell>
          <cell r="N17">
            <v>43200</v>
          </cell>
        </row>
        <row r="18">
          <cell r="A18" t="str">
            <v>9410</v>
          </cell>
          <cell r="B18" t="str">
            <v>015502911</v>
          </cell>
          <cell r="C18">
            <v>100800</v>
          </cell>
          <cell r="D18">
            <v>112800</v>
          </cell>
          <cell r="E18">
            <v>129600</v>
          </cell>
          <cell r="F18">
            <v>28800</v>
          </cell>
          <cell r="G18">
            <v>43200</v>
          </cell>
          <cell r="H18">
            <v>28800</v>
          </cell>
          <cell r="I18">
            <v>40800</v>
          </cell>
          <cell r="J18">
            <v>43200</v>
          </cell>
          <cell r="K18">
            <v>28800</v>
          </cell>
          <cell r="L18">
            <v>43200</v>
          </cell>
          <cell r="M18">
            <v>43200</v>
          </cell>
          <cell r="N18">
            <v>43200</v>
          </cell>
        </row>
        <row r="19">
          <cell r="A19" t="str">
            <v>9410</v>
          </cell>
          <cell r="B19" t="str">
            <v>010602142</v>
          </cell>
          <cell r="C19">
            <v>98400</v>
          </cell>
          <cell r="D19">
            <v>139200</v>
          </cell>
          <cell r="E19">
            <v>124800</v>
          </cell>
          <cell r="F19">
            <v>28800</v>
          </cell>
          <cell r="G19">
            <v>43200</v>
          </cell>
          <cell r="H19">
            <v>26400</v>
          </cell>
          <cell r="I19">
            <v>50400</v>
          </cell>
          <cell r="J19">
            <v>60000</v>
          </cell>
          <cell r="K19">
            <v>28800</v>
          </cell>
          <cell r="L19">
            <v>57600</v>
          </cell>
          <cell r="M19">
            <v>43200</v>
          </cell>
          <cell r="N19">
            <v>24000</v>
          </cell>
        </row>
        <row r="20">
          <cell r="A20" t="str">
            <v>9420</v>
          </cell>
          <cell r="B20" t="str">
            <v>011405550</v>
          </cell>
          <cell r="C20">
            <v>84000</v>
          </cell>
          <cell r="D20">
            <v>72000</v>
          </cell>
          <cell r="E20">
            <v>60000</v>
          </cell>
          <cell r="F20">
            <v>12000</v>
          </cell>
          <cell r="G20">
            <v>36000</v>
          </cell>
          <cell r="H20">
            <v>36000</v>
          </cell>
          <cell r="I20">
            <v>24000</v>
          </cell>
          <cell r="J20">
            <v>24000</v>
          </cell>
          <cell r="K20">
            <v>24000</v>
          </cell>
          <cell r="L20">
            <v>24000</v>
          </cell>
          <cell r="M20">
            <v>12000</v>
          </cell>
          <cell r="N20">
            <v>24000</v>
          </cell>
        </row>
        <row r="21">
          <cell r="A21" t="str">
            <v>9410</v>
          </cell>
          <cell r="B21" t="str">
            <v>013808900</v>
          </cell>
          <cell r="C21">
            <v>79200</v>
          </cell>
          <cell r="D21">
            <v>115200</v>
          </cell>
          <cell r="E21">
            <v>100800</v>
          </cell>
          <cell r="F21">
            <v>14400</v>
          </cell>
          <cell r="G21">
            <v>36000</v>
          </cell>
          <cell r="H21">
            <v>28800</v>
          </cell>
          <cell r="I21">
            <v>28800</v>
          </cell>
          <cell r="J21">
            <v>57600</v>
          </cell>
          <cell r="K21">
            <v>28800</v>
          </cell>
          <cell r="L21">
            <v>28800</v>
          </cell>
          <cell r="M21">
            <v>57600</v>
          </cell>
          <cell r="N21">
            <v>14400</v>
          </cell>
        </row>
        <row r="22">
          <cell r="A22" t="str">
            <v>9410</v>
          </cell>
          <cell r="B22" t="str">
            <v>013808190</v>
          </cell>
          <cell r="C22">
            <v>76800</v>
          </cell>
          <cell r="D22">
            <v>72000</v>
          </cell>
          <cell r="E22">
            <v>100800</v>
          </cell>
          <cell r="F22">
            <v>14400</v>
          </cell>
          <cell r="G22">
            <v>43200</v>
          </cell>
          <cell r="H22">
            <v>19200</v>
          </cell>
          <cell r="I22">
            <v>14400</v>
          </cell>
          <cell r="J22">
            <v>43200</v>
          </cell>
          <cell r="K22">
            <v>14400</v>
          </cell>
          <cell r="L22">
            <v>28800</v>
          </cell>
          <cell r="M22">
            <v>57600</v>
          </cell>
          <cell r="N22">
            <v>14400</v>
          </cell>
        </row>
        <row r="23">
          <cell r="A23" t="str">
            <v>9410</v>
          </cell>
          <cell r="B23" t="str">
            <v>013807860</v>
          </cell>
          <cell r="C23">
            <v>72000</v>
          </cell>
          <cell r="D23">
            <v>86000</v>
          </cell>
          <cell r="E23">
            <v>86400</v>
          </cell>
          <cell r="F23">
            <v>26400</v>
          </cell>
          <cell r="G23">
            <v>28800</v>
          </cell>
          <cell r="H23">
            <v>16800</v>
          </cell>
          <cell r="I23">
            <v>42800</v>
          </cell>
          <cell r="J23">
            <v>28800</v>
          </cell>
          <cell r="K23">
            <v>14400</v>
          </cell>
          <cell r="L23">
            <v>43200</v>
          </cell>
          <cell r="M23">
            <v>43200</v>
          </cell>
          <cell r="N23">
            <v>0</v>
          </cell>
        </row>
        <row r="24">
          <cell r="A24" t="str">
            <v>9410</v>
          </cell>
          <cell r="B24" t="str">
            <v>014703300</v>
          </cell>
          <cell r="C24">
            <v>69600</v>
          </cell>
          <cell r="D24">
            <v>86000</v>
          </cell>
          <cell r="E24">
            <v>57600</v>
          </cell>
          <cell r="F24">
            <v>7200</v>
          </cell>
          <cell r="G24">
            <v>28800</v>
          </cell>
          <cell r="H24">
            <v>33600</v>
          </cell>
          <cell r="I24">
            <v>28800</v>
          </cell>
          <cell r="J24">
            <v>42800</v>
          </cell>
          <cell r="K24">
            <v>14400</v>
          </cell>
          <cell r="L24">
            <v>28800</v>
          </cell>
          <cell r="M24">
            <v>28800</v>
          </cell>
          <cell r="N24">
            <v>0</v>
          </cell>
        </row>
        <row r="25">
          <cell r="A25" t="str">
            <v>9410</v>
          </cell>
          <cell r="B25" t="str">
            <v>013805642</v>
          </cell>
          <cell r="C25">
            <v>67200</v>
          </cell>
          <cell r="D25">
            <v>132000</v>
          </cell>
          <cell r="E25">
            <v>163200</v>
          </cell>
          <cell r="F25">
            <v>0</v>
          </cell>
          <cell r="G25">
            <v>67200</v>
          </cell>
          <cell r="H25">
            <v>0</v>
          </cell>
          <cell r="I25">
            <v>0</v>
          </cell>
          <cell r="J25">
            <v>132000</v>
          </cell>
          <cell r="K25">
            <v>0</v>
          </cell>
          <cell r="L25">
            <v>0</v>
          </cell>
          <cell r="M25">
            <v>163200</v>
          </cell>
          <cell r="N25">
            <v>0</v>
          </cell>
        </row>
        <row r="26">
          <cell r="A26" t="str">
            <v>9410</v>
          </cell>
          <cell r="B26" t="str">
            <v>013806252</v>
          </cell>
          <cell r="C26">
            <v>62400</v>
          </cell>
          <cell r="D26">
            <v>76800</v>
          </cell>
          <cell r="E26">
            <v>72000</v>
          </cell>
          <cell r="F26">
            <v>28800</v>
          </cell>
          <cell r="G26">
            <v>14400</v>
          </cell>
          <cell r="H26">
            <v>19200</v>
          </cell>
          <cell r="I26">
            <v>33600</v>
          </cell>
          <cell r="J26">
            <v>28800</v>
          </cell>
          <cell r="K26">
            <v>14400</v>
          </cell>
          <cell r="L26">
            <v>28800</v>
          </cell>
          <cell r="M26">
            <v>28800</v>
          </cell>
          <cell r="N26">
            <v>14400</v>
          </cell>
        </row>
        <row r="27">
          <cell r="A27" t="str">
            <v>9410</v>
          </cell>
          <cell r="B27" t="str">
            <v>010602580</v>
          </cell>
          <cell r="C27">
            <v>60000</v>
          </cell>
          <cell r="D27">
            <v>57600</v>
          </cell>
          <cell r="E27">
            <v>57600</v>
          </cell>
          <cell r="F27">
            <v>0</v>
          </cell>
          <cell r="G27">
            <v>36000</v>
          </cell>
          <cell r="H27">
            <v>24000</v>
          </cell>
          <cell r="I27">
            <v>28800</v>
          </cell>
          <cell r="J27">
            <v>28800</v>
          </cell>
          <cell r="K27">
            <v>0</v>
          </cell>
          <cell r="L27">
            <v>28800</v>
          </cell>
          <cell r="M27">
            <v>14400</v>
          </cell>
          <cell r="N27">
            <v>14400</v>
          </cell>
        </row>
        <row r="28">
          <cell r="A28" t="str">
            <v>9410</v>
          </cell>
          <cell r="B28" t="str">
            <v>014702962</v>
          </cell>
          <cell r="C28">
            <v>60000</v>
          </cell>
          <cell r="D28">
            <v>86400</v>
          </cell>
          <cell r="E28">
            <v>57600</v>
          </cell>
          <cell r="F28">
            <v>28800</v>
          </cell>
          <cell r="G28">
            <v>14400</v>
          </cell>
          <cell r="H28">
            <v>16800</v>
          </cell>
          <cell r="I28">
            <v>43200</v>
          </cell>
          <cell r="J28">
            <v>14400</v>
          </cell>
          <cell r="K28">
            <v>28800</v>
          </cell>
          <cell r="L28">
            <v>14400</v>
          </cell>
          <cell r="M28">
            <v>14400</v>
          </cell>
          <cell r="N28">
            <v>28800</v>
          </cell>
        </row>
        <row r="29">
          <cell r="A29" t="str">
            <v>9410</v>
          </cell>
          <cell r="B29" t="str">
            <v>013807960</v>
          </cell>
          <cell r="C29">
            <v>57600</v>
          </cell>
          <cell r="D29">
            <v>69600</v>
          </cell>
          <cell r="E29">
            <v>69600</v>
          </cell>
          <cell r="F29">
            <v>26400</v>
          </cell>
          <cell r="G29">
            <v>28800</v>
          </cell>
          <cell r="H29">
            <v>2400</v>
          </cell>
          <cell r="I29">
            <v>40800</v>
          </cell>
          <cell r="J29">
            <v>14400</v>
          </cell>
          <cell r="K29">
            <v>14400</v>
          </cell>
          <cell r="L29">
            <v>28800</v>
          </cell>
          <cell r="M29">
            <v>28800</v>
          </cell>
          <cell r="N29">
            <v>12000</v>
          </cell>
        </row>
        <row r="30">
          <cell r="A30" t="str">
            <v>9410</v>
          </cell>
          <cell r="B30" t="str">
            <v>013808200</v>
          </cell>
          <cell r="C30">
            <v>57600</v>
          </cell>
          <cell r="D30">
            <v>57600</v>
          </cell>
          <cell r="E30">
            <v>86400</v>
          </cell>
          <cell r="F30">
            <v>14400</v>
          </cell>
          <cell r="G30">
            <v>43200</v>
          </cell>
          <cell r="H30">
            <v>0</v>
          </cell>
          <cell r="I30">
            <v>14400</v>
          </cell>
          <cell r="J30">
            <v>28800</v>
          </cell>
          <cell r="K30">
            <v>14400</v>
          </cell>
          <cell r="L30">
            <v>28800</v>
          </cell>
          <cell r="M30">
            <v>43200</v>
          </cell>
          <cell r="N30">
            <v>14400</v>
          </cell>
        </row>
        <row r="31">
          <cell r="A31" t="str">
            <v>9410</v>
          </cell>
          <cell r="B31" t="str">
            <v>010602171</v>
          </cell>
          <cell r="C31">
            <v>55200</v>
          </cell>
          <cell r="D31">
            <v>72000</v>
          </cell>
          <cell r="E31">
            <v>57600</v>
          </cell>
          <cell r="F31">
            <v>12000</v>
          </cell>
          <cell r="G31">
            <v>28800</v>
          </cell>
          <cell r="H31">
            <v>14400</v>
          </cell>
          <cell r="I31">
            <v>28800</v>
          </cell>
          <cell r="J31">
            <v>28800</v>
          </cell>
          <cell r="K31">
            <v>14400</v>
          </cell>
          <cell r="L31">
            <v>14400</v>
          </cell>
          <cell r="M31">
            <v>28800</v>
          </cell>
          <cell r="N31">
            <v>14400</v>
          </cell>
        </row>
        <row r="32">
          <cell r="A32" t="str">
            <v>9410</v>
          </cell>
          <cell r="B32" t="str">
            <v>013808940</v>
          </cell>
          <cell r="C32">
            <v>50400</v>
          </cell>
          <cell r="D32">
            <v>100800</v>
          </cell>
          <cell r="E32">
            <v>86400</v>
          </cell>
          <cell r="F32">
            <v>28800</v>
          </cell>
          <cell r="G32">
            <v>14400</v>
          </cell>
          <cell r="H32">
            <v>7200</v>
          </cell>
          <cell r="I32">
            <v>43200</v>
          </cell>
          <cell r="J32">
            <v>28800</v>
          </cell>
          <cell r="K32">
            <v>28800</v>
          </cell>
          <cell r="L32">
            <v>43200</v>
          </cell>
          <cell r="M32">
            <v>28800</v>
          </cell>
          <cell r="N32">
            <v>14400</v>
          </cell>
        </row>
        <row r="33">
          <cell r="A33" t="str">
            <v>9410</v>
          </cell>
          <cell r="B33" t="str">
            <v>010602520</v>
          </cell>
          <cell r="C33">
            <v>48000</v>
          </cell>
          <cell r="D33">
            <v>67600</v>
          </cell>
          <cell r="E33">
            <v>60000</v>
          </cell>
          <cell r="F33">
            <v>26400</v>
          </cell>
          <cell r="G33">
            <v>21600</v>
          </cell>
          <cell r="H33">
            <v>0</v>
          </cell>
          <cell r="I33">
            <v>29200</v>
          </cell>
          <cell r="J33">
            <v>14400</v>
          </cell>
          <cell r="K33">
            <v>24000</v>
          </cell>
          <cell r="L33">
            <v>12000</v>
          </cell>
          <cell r="M33">
            <v>24000</v>
          </cell>
          <cell r="N33">
            <v>24000</v>
          </cell>
        </row>
        <row r="34">
          <cell r="A34" t="str">
            <v>9410</v>
          </cell>
          <cell r="B34" t="str">
            <v>015600111</v>
          </cell>
          <cell r="C34">
            <v>48000</v>
          </cell>
          <cell r="D34">
            <v>100800</v>
          </cell>
          <cell r="E34">
            <v>86400</v>
          </cell>
          <cell r="F34">
            <v>28800</v>
          </cell>
          <cell r="G34">
            <v>14400</v>
          </cell>
          <cell r="H34">
            <v>4800</v>
          </cell>
          <cell r="I34">
            <v>43200</v>
          </cell>
          <cell r="J34">
            <v>28800</v>
          </cell>
          <cell r="K34">
            <v>28800</v>
          </cell>
          <cell r="L34">
            <v>28800</v>
          </cell>
          <cell r="M34">
            <v>43200</v>
          </cell>
          <cell r="N34">
            <v>14400</v>
          </cell>
        </row>
        <row r="35">
          <cell r="A35" t="str">
            <v>9410</v>
          </cell>
          <cell r="B35" t="str">
            <v>010602161</v>
          </cell>
          <cell r="C35">
            <v>45600</v>
          </cell>
          <cell r="D35">
            <v>57600</v>
          </cell>
          <cell r="E35">
            <v>57600</v>
          </cell>
          <cell r="F35">
            <v>19200</v>
          </cell>
          <cell r="G35">
            <v>14400</v>
          </cell>
          <cell r="H35">
            <v>12000</v>
          </cell>
          <cell r="I35">
            <v>28800</v>
          </cell>
          <cell r="J35">
            <v>14400</v>
          </cell>
          <cell r="K35">
            <v>14400</v>
          </cell>
          <cell r="L35">
            <v>28800</v>
          </cell>
          <cell r="M35">
            <v>14400</v>
          </cell>
          <cell r="N35">
            <v>14400</v>
          </cell>
        </row>
        <row r="36">
          <cell r="A36" t="str">
            <v>8410</v>
          </cell>
          <cell r="B36" t="str">
            <v>019400540</v>
          </cell>
          <cell r="C36">
            <v>44000</v>
          </cell>
          <cell r="D36">
            <v>0</v>
          </cell>
          <cell r="E36">
            <v>0</v>
          </cell>
          <cell r="F36">
            <v>44000</v>
          </cell>
          <cell r="G36">
            <v>0</v>
          </cell>
          <cell r="H36">
            <v>0</v>
          </cell>
          <cell r="I36">
            <v>0</v>
          </cell>
          <cell r="J36">
            <v>0</v>
          </cell>
          <cell r="K36">
            <v>0</v>
          </cell>
          <cell r="L36">
            <v>0</v>
          </cell>
          <cell r="M36">
            <v>0</v>
          </cell>
          <cell r="N36">
            <v>0</v>
          </cell>
        </row>
        <row r="37">
          <cell r="A37" t="str">
            <v>9410</v>
          </cell>
          <cell r="B37" t="str">
            <v>014002261</v>
          </cell>
          <cell r="C37">
            <v>43840</v>
          </cell>
          <cell r="D37">
            <v>43200</v>
          </cell>
          <cell r="E37">
            <v>57600</v>
          </cell>
          <cell r="F37">
            <v>24640</v>
          </cell>
          <cell r="G37">
            <v>14400</v>
          </cell>
          <cell r="H37">
            <v>4800</v>
          </cell>
          <cell r="I37">
            <v>14400</v>
          </cell>
          <cell r="J37">
            <v>14400</v>
          </cell>
          <cell r="K37">
            <v>14400</v>
          </cell>
          <cell r="L37">
            <v>28800</v>
          </cell>
          <cell r="M37">
            <v>14400</v>
          </cell>
          <cell r="N37">
            <v>14400</v>
          </cell>
        </row>
        <row r="38">
          <cell r="A38" t="str">
            <v>9410</v>
          </cell>
          <cell r="B38" t="str">
            <v>013807950</v>
          </cell>
          <cell r="C38">
            <v>43200</v>
          </cell>
          <cell r="D38">
            <v>96000</v>
          </cell>
          <cell r="E38">
            <v>72000</v>
          </cell>
          <cell r="F38">
            <v>14400</v>
          </cell>
          <cell r="G38">
            <v>14400</v>
          </cell>
          <cell r="H38">
            <v>14400</v>
          </cell>
          <cell r="I38">
            <v>38400</v>
          </cell>
          <cell r="J38">
            <v>43200</v>
          </cell>
          <cell r="K38">
            <v>14400</v>
          </cell>
          <cell r="L38">
            <v>28800</v>
          </cell>
          <cell r="M38">
            <v>28800</v>
          </cell>
          <cell r="N38">
            <v>14400</v>
          </cell>
        </row>
        <row r="39">
          <cell r="A39" t="str">
            <v>9410</v>
          </cell>
          <cell r="B39" t="str">
            <v>015502481</v>
          </cell>
          <cell r="C39">
            <v>38400</v>
          </cell>
          <cell r="D39">
            <v>28800</v>
          </cell>
          <cell r="E39">
            <v>33600</v>
          </cell>
          <cell r="F39">
            <v>14400</v>
          </cell>
          <cell r="G39">
            <v>9600</v>
          </cell>
          <cell r="H39">
            <v>14400</v>
          </cell>
          <cell r="I39">
            <v>14400</v>
          </cell>
          <cell r="J39">
            <v>7200</v>
          </cell>
          <cell r="K39">
            <v>7200</v>
          </cell>
          <cell r="L39">
            <v>19200</v>
          </cell>
          <cell r="M39">
            <v>7200</v>
          </cell>
          <cell r="N39">
            <v>7200</v>
          </cell>
        </row>
        <row r="40">
          <cell r="A40" t="str">
            <v>9410</v>
          </cell>
          <cell r="B40" t="str">
            <v>015600170</v>
          </cell>
          <cell r="C40">
            <v>38400</v>
          </cell>
          <cell r="D40">
            <v>64800</v>
          </cell>
          <cell r="E40">
            <v>33600</v>
          </cell>
          <cell r="F40">
            <v>21600</v>
          </cell>
          <cell r="G40">
            <v>16800</v>
          </cell>
          <cell r="H40">
            <v>0</v>
          </cell>
          <cell r="I40">
            <v>28800</v>
          </cell>
          <cell r="J40">
            <v>21600</v>
          </cell>
          <cell r="K40">
            <v>14400</v>
          </cell>
          <cell r="L40">
            <v>21600</v>
          </cell>
          <cell r="M40">
            <v>7200</v>
          </cell>
          <cell r="N40">
            <v>4800</v>
          </cell>
        </row>
        <row r="41">
          <cell r="A41" t="str">
            <v>5100</v>
          </cell>
          <cell r="B41" t="str">
            <v>014001993</v>
          </cell>
          <cell r="C41">
            <v>36000</v>
          </cell>
          <cell r="D41">
            <v>42000</v>
          </cell>
          <cell r="E41">
            <v>30000</v>
          </cell>
          <cell r="F41">
            <v>6000</v>
          </cell>
          <cell r="G41">
            <v>12000</v>
          </cell>
          <cell r="H41">
            <v>18000</v>
          </cell>
          <cell r="I41">
            <v>12000</v>
          </cell>
          <cell r="J41">
            <v>12000</v>
          </cell>
          <cell r="K41">
            <v>18000</v>
          </cell>
          <cell r="L41">
            <v>12000</v>
          </cell>
          <cell r="M41">
            <v>6000</v>
          </cell>
          <cell r="N41">
            <v>12000</v>
          </cell>
        </row>
        <row r="42">
          <cell r="A42" t="str">
            <v>8410</v>
          </cell>
          <cell r="B42" t="str">
            <v>019400550</v>
          </cell>
          <cell r="C42">
            <v>36000</v>
          </cell>
          <cell r="D42">
            <v>0</v>
          </cell>
          <cell r="E42">
            <v>0</v>
          </cell>
          <cell r="F42">
            <v>36000</v>
          </cell>
          <cell r="G42">
            <v>0</v>
          </cell>
          <cell r="H42">
            <v>0</v>
          </cell>
          <cell r="I42">
            <v>0</v>
          </cell>
          <cell r="J42">
            <v>0</v>
          </cell>
          <cell r="K42">
            <v>0</v>
          </cell>
          <cell r="L42">
            <v>0</v>
          </cell>
          <cell r="M42">
            <v>0</v>
          </cell>
          <cell r="N42">
            <v>0</v>
          </cell>
        </row>
        <row r="43">
          <cell r="A43" t="str">
            <v>9410</v>
          </cell>
          <cell r="B43" t="str">
            <v>010602122</v>
          </cell>
          <cell r="C43">
            <v>36000</v>
          </cell>
          <cell r="D43">
            <v>43200</v>
          </cell>
          <cell r="E43">
            <v>36000</v>
          </cell>
          <cell r="F43">
            <v>24000</v>
          </cell>
          <cell r="G43">
            <v>12000</v>
          </cell>
          <cell r="H43">
            <v>0</v>
          </cell>
          <cell r="I43">
            <v>19200</v>
          </cell>
          <cell r="J43">
            <v>12000</v>
          </cell>
          <cell r="K43">
            <v>12000</v>
          </cell>
          <cell r="L43">
            <v>12000</v>
          </cell>
          <cell r="M43">
            <v>12000</v>
          </cell>
          <cell r="N43">
            <v>12000</v>
          </cell>
        </row>
        <row r="44">
          <cell r="A44" t="str">
            <v>9410</v>
          </cell>
          <cell r="B44" t="str">
            <v>013805642</v>
          </cell>
          <cell r="C44">
            <v>36000</v>
          </cell>
          <cell r="D44">
            <v>0</v>
          </cell>
          <cell r="E44">
            <v>0</v>
          </cell>
          <cell r="F44">
            <v>36000</v>
          </cell>
          <cell r="G44">
            <v>0</v>
          </cell>
          <cell r="H44">
            <v>0</v>
          </cell>
          <cell r="I44">
            <v>0</v>
          </cell>
          <cell r="J44">
            <v>0</v>
          </cell>
          <cell r="K44">
            <v>0</v>
          </cell>
          <cell r="L44">
            <v>0</v>
          </cell>
          <cell r="M44">
            <v>0</v>
          </cell>
          <cell r="N44">
            <v>0</v>
          </cell>
        </row>
        <row r="45">
          <cell r="A45" t="str">
            <v>9410</v>
          </cell>
          <cell r="B45" t="str">
            <v>019400190</v>
          </cell>
          <cell r="C45">
            <v>36000</v>
          </cell>
          <cell r="D45">
            <v>48000</v>
          </cell>
          <cell r="E45">
            <v>48000</v>
          </cell>
          <cell r="F45">
            <v>16800</v>
          </cell>
          <cell r="G45">
            <v>12000</v>
          </cell>
          <cell r="H45">
            <v>7200</v>
          </cell>
          <cell r="I45">
            <v>12000</v>
          </cell>
          <cell r="J45">
            <v>24000</v>
          </cell>
          <cell r="K45">
            <v>12000</v>
          </cell>
          <cell r="L45">
            <v>24000</v>
          </cell>
          <cell r="M45">
            <v>12000</v>
          </cell>
          <cell r="N45">
            <v>12000</v>
          </cell>
        </row>
        <row r="46">
          <cell r="A46" t="str">
            <v>9410</v>
          </cell>
          <cell r="B46" t="str">
            <v>011405051</v>
          </cell>
          <cell r="C46">
            <v>32000</v>
          </cell>
          <cell r="D46">
            <v>36000</v>
          </cell>
          <cell r="E46">
            <v>36000</v>
          </cell>
          <cell r="F46">
            <v>8000</v>
          </cell>
          <cell r="G46">
            <v>24000</v>
          </cell>
          <cell r="H46">
            <v>0</v>
          </cell>
          <cell r="I46">
            <v>12000</v>
          </cell>
          <cell r="J46">
            <v>12000</v>
          </cell>
          <cell r="K46">
            <v>12000</v>
          </cell>
          <cell r="L46">
            <v>0</v>
          </cell>
          <cell r="M46">
            <v>24000</v>
          </cell>
          <cell r="N46">
            <v>12000</v>
          </cell>
        </row>
        <row r="47">
          <cell r="A47" t="str">
            <v>9410</v>
          </cell>
          <cell r="B47" t="str">
            <v>015502901</v>
          </cell>
          <cell r="C47">
            <v>31200</v>
          </cell>
          <cell r="D47">
            <v>48000</v>
          </cell>
          <cell r="E47">
            <v>36000</v>
          </cell>
          <cell r="F47">
            <v>14400</v>
          </cell>
          <cell r="G47">
            <v>14400</v>
          </cell>
          <cell r="H47">
            <v>2400</v>
          </cell>
          <cell r="I47">
            <v>19200</v>
          </cell>
          <cell r="J47">
            <v>14400</v>
          </cell>
          <cell r="K47">
            <v>14400</v>
          </cell>
          <cell r="L47">
            <v>14400</v>
          </cell>
          <cell r="M47">
            <v>14400</v>
          </cell>
          <cell r="N47">
            <v>7200</v>
          </cell>
        </row>
        <row r="48">
          <cell r="A48" t="str">
            <v>5100</v>
          </cell>
          <cell r="B48" t="str">
            <v>011404202</v>
          </cell>
          <cell r="C48">
            <v>30000</v>
          </cell>
          <cell r="D48">
            <v>24000</v>
          </cell>
          <cell r="E48">
            <v>12000</v>
          </cell>
          <cell r="F48">
            <v>6000</v>
          </cell>
          <cell r="G48">
            <v>12000</v>
          </cell>
          <cell r="H48">
            <v>12000</v>
          </cell>
          <cell r="I48">
            <v>6000</v>
          </cell>
          <cell r="J48">
            <v>12000</v>
          </cell>
          <cell r="K48">
            <v>6000</v>
          </cell>
          <cell r="L48">
            <v>12000</v>
          </cell>
          <cell r="M48">
            <v>0</v>
          </cell>
          <cell r="N48">
            <v>0</v>
          </cell>
        </row>
        <row r="49">
          <cell r="A49" t="str">
            <v>9410</v>
          </cell>
          <cell r="B49" t="str">
            <v>010602540</v>
          </cell>
          <cell r="C49">
            <v>28800</v>
          </cell>
          <cell r="D49">
            <v>26400</v>
          </cell>
          <cell r="E49">
            <v>7200</v>
          </cell>
          <cell r="F49">
            <v>7200</v>
          </cell>
          <cell r="G49">
            <v>7200</v>
          </cell>
          <cell r="H49">
            <v>14400</v>
          </cell>
          <cell r="I49">
            <v>12000</v>
          </cell>
          <cell r="J49">
            <v>7200</v>
          </cell>
          <cell r="K49">
            <v>7200</v>
          </cell>
          <cell r="L49">
            <v>7200</v>
          </cell>
          <cell r="M49">
            <v>0</v>
          </cell>
          <cell r="N49">
            <v>0</v>
          </cell>
        </row>
        <row r="50">
          <cell r="A50" t="str">
            <v>9410</v>
          </cell>
          <cell r="B50" t="str">
            <v>011405161</v>
          </cell>
          <cell r="C50">
            <v>28800</v>
          </cell>
          <cell r="D50">
            <v>43200</v>
          </cell>
          <cell r="E50">
            <v>52800</v>
          </cell>
          <cell r="F50">
            <v>4800</v>
          </cell>
          <cell r="G50">
            <v>14400</v>
          </cell>
          <cell r="H50">
            <v>9600</v>
          </cell>
          <cell r="I50">
            <v>14400</v>
          </cell>
          <cell r="J50">
            <v>14400</v>
          </cell>
          <cell r="K50">
            <v>14400</v>
          </cell>
          <cell r="L50">
            <v>28800</v>
          </cell>
          <cell r="M50">
            <v>12000</v>
          </cell>
          <cell r="N50">
            <v>12000</v>
          </cell>
        </row>
        <row r="51">
          <cell r="A51" t="str">
            <v>9410</v>
          </cell>
          <cell r="B51" t="str">
            <v>013807311</v>
          </cell>
          <cell r="C51">
            <v>28800</v>
          </cell>
          <cell r="D51">
            <v>28800</v>
          </cell>
          <cell r="E51">
            <v>28800</v>
          </cell>
          <cell r="F51">
            <v>28800</v>
          </cell>
          <cell r="G51">
            <v>0</v>
          </cell>
          <cell r="H51">
            <v>0</v>
          </cell>
          <cell r="I51">
            <v>14400</v>
          </cell>
          <cell r="J51">
            <v>14400</v>
          </cell>
          <cell r="K51">
            <v>0</v>
          </cell>
          <cell r="L51">
            <v>14400</v>
          </cell>
          <cell r="M51">
            <v>14400</v>
          </cell>
          <cell r="N51">
            <v>0</v>
          </cell>
        </row>
        <row r="52">
          <cell r="A52" t="str">
            <v>9410</v>
          </cell>
          <cell r="B52" t="str">
            <v>013808410</v>
          </cell>
          <cell r="C52">
            <v>28800</v>
          </cell>
          <cell r="D52">
            <v>33600</v>
          </cell>
          <cell r="E52">
            <v>24000</v>
          </cell>
          <cell r="F52">
            <v>14400</v>
          </cell>
          <cell r="G52">
            <v>14400</v>
          </cell>
          <cell r="H52">
            <v>0</v>
          </cell>
          <cell r="I52">
            <v>19200</v>
          </cell>
          <cell r="J52">
            <v>0</v>
          </cell>
          <cell r="K52">
            <v>14400</v>
          </cell>
          <cell r="L52">
            <v>14400</v>
          </cell>
          <cell r="M52">
            <v>0</v>
          </cell>
          <cell r="N52">
            <v>9600</v>
          </cell>
        </row>
        <row r="53">
          <cell r="A53" t="str">
            <v>9410</v>
          </cell>
          <cell r="B53" t="str">
            <v>019400560</v>
          </cell>
          <cell r="C53">
            <v>28800</v>
          </cell>
          <cell r="D53">
            <v>0</v>
          </cell>
          <cell r="E53">
            <v>0</v>
          </cell>
          <cell r="F53">
            <v>0</v>
          </cell>
          <cell r="G53">
            <v>28800</v>
          </cell>
          <cell r="H53">
            <v>0</v>
          </cell>
          <cell r="I53">
            <v>0</v>
          </cell>
          <cell r="J53">
            <v>0</v>
          </cell>
          <cell r="K53">
            <v>0</v>
          </cell>
          <cell r="L53">
            <v>0</v>
          </cell>
          <cell r="M53">
            <v>0</v>
          </cell>
          <cell r="N53">
            <v>0</v>
          </cell>
        </row>
        <row r="54">
          <cell r="A54" t="str">
            <v>9420</v>
          </cell>
          <cell r="B54" t="str">
            <v>011403384</v>
          </cell>
          <cell r="C54">
            <v>28800</v>
          </cell>
          <cell r="D54">
            <v>12000</v>
          </cell>
          <cell r="E54">
            <v>24000</v>
          </cell>
          <cell r="F54">
            <v>14400</v>
          </cell>
          <cell r="G54">
            <v>9600</v>
          </cell>
          <cell r="H54">
            <v>4800</v>
          </cell>
          <cell r="I54">
            <v>0</v>
          </cell>
          <cell r="J54">
            <v>12000</v>
          </cell>
          <cell r="K54">
            <v>0</v>
          </cell>
          <cell r="L54">
            <v>12000</v>
          </cell>
          <cell r="M54">
            <v>12000</v>
          </cell>
          <cell r="N54">
            <v>0</v>
          </cell>
        </row>
        <row r="55">
          <cell r="A55" t="str">
            <v>9410</v>
          </cell>
          <cell r="B55" t="str">
            <v>010602550</v>
          </cell>
          <cell r="C55">
            <v>26400</v>
          </cell>
          <cell r="D55">
            <v>24000</v>
          </cell>
          <cell r="E55">
            <v>14400</v>
          </cell>
          <cell r="F55">
            <v>7200</v>
          </cell>
          <cell r="G55">
            <v>7200</v>
          </cell>
          <cell r="H55">
            <v>12000</v>
          </cell>
          <cell r="I55">
            <v>16800</v>
          </cell>
          <cell r="J55">
            <v>7200</v>
          </cell>
          <cell r="K55">
            <v>0</v>
          </cell>
          <cell r="L55">
            <v>7200</v>
          </cell>
          <cell r="M55">
            <v>0</v>
          </cell>
          <cell r="N55">
            <v>7200</v>
          </cell>
        </row>
        <row r="56">
          <cell r="A56" t="str">
            <v>9410</v>
          </cell>
          <cell r="B56" t="str">
            <v>011402856</v>
          </cell>
          <cell r="C56">
            <v>26400</v>
          </cell>
          <cell r="D56">
            <v>28800</v>
          </cell>
          <cell r="E56">
            <v>48000</v>
          </cell>
          <cell r="F56">
            <v>9600</v>
          </cell>
          <cell r="G56">
            <v>9600</v>
          </cell>
          <cell r="H56">
            <v>7200</v>
          </cell>
          <cell r="I56">
            <v>19200</v>
          </cell>
          <cell r="J56">
            <v>9600</v>
          </cell>
          <cell r="K56">
            <v>0</v>
          </cell>
          <cell r="L56">
            <v>33600</v>
          </cell>
          <cell r="M56">
            <v>14400</v>
          </cell>
          <cell r="N56">
            <v>0</v>
          </cell>
        </row>
        <row r="57">
          <cell r="A57" t="str">
            <v>9410</v>
          </cell>
          <cell r="B57" t="str">
            <v>011404842</v>
          </cell>
          <cell r="C57">
            <v>26400</v>
          </cell>
          <cell r="D57">
            <v>21600</v>
          </cell>
          <cell r="E57">
            <v>19200</v>
          </cell>
          <cell r="F57">
            <v>14400</v>
          </cell>
          <cell r="G57">
            <v>4800</v>
          </cell>
          <cell r="H57">
            <v>7200</v>
          </cell>
          <cell r="I57">
            <v>12000</v>
          </cell>
          <cell r="J57">
            <v>9600</v>
          </cell>
          <cell r="K57">
            <v>0</v>
          </cell>
          <cell r="L57">
            <v>9600</v>
          </cell>
          <cell r="M57">
            <v>9600</v>
          </cell>
          <cell r="N57">
            <v>0</v>
          </cell>
        </row>
        <row r="58">
          <cell r="A58" t="str">
            <v>9410</v>
          </cell>
          <cell r="B58" t="str">
            <v>011405020</v>
          </cell>
          <cell r="C58">
            <v>26400</v>
          </cell>
          <cell r="D58">
            <v>28800</v>
          </cell>
          <cell r="E58">
            <v>26400</v>
          </cell>
          <cell r="F58">
            <v>7200</v>
          </cell>
          <cell r="G58">
            <v>14400</v>
          </cell>
          <cell r="H58">
            <v>4800</v>
          </cell>
          <cell r="I58">
            <v>14400</v>
          </cell>
          <cell r="J58">
            <v>7200</v>
          </cell>
          <cell r="K58">
            <v>7200</v>
          </cell>
          <cell r="L58">
            <v>9600</v>
          </cell>
          <cell r="M58">
            <v>16800</v>
          </cell>
          <cell r="N58">
            <v>0</v>
          </cell>
        </row>
        <row r="59">
          <cell r="A59" t="str">
            <v>9410</v>
          </cell>
          <cell r="B59" t="str">
            <v>011405030</v>
          </cell>
          <cell r="C59">
            <v>26400</v>
          </cell>
          <cell r="D59">
            <v>28800</v>
          </cell>
          <cell r="E59">
            <v>26400</v>
          </cell>
          <cell r="F59">
            <v>7200</v>
          </cell>
          <cell r="G59">
            <v>12000</v>
          </cell>
          <cell r="H59">
            <v>7200</v>
          </cell>
          <cell r="I59">
            <v>14400</v>
          </cell>
          <cell r="J59">
            <v>7200</v>
          </cell>
          <cell r="K59">
            <v>7200</v>
          </cell>
          <cell r="L59">
            <v>9600</v>
          </cell>
          <cell r="M59">
            <v>9600</v>
          </cell>
          <cell r="N59">
            <v>7200</v>
          </cell>
        </row>
        <row r="60">
          <cell r="A60" t="str">
            <v>9410</v>
          </cell>
          <cell r="B60" t="str">
            <v>013807361</v>
          </cell>
          <cell r="C60">
            <v>26400</v>
          </cell>
          <cell r="D60">
            <v>28800</v>
          </cell>
          <cell r="E60">
            <v>57600</v>
          </cell>
          <cell r="F60">
            <v>14400</v>
          </cell>
          <cell r="G60">
            <v>7200</v>
          </cell>
          <cell r="H60">
            <v>4800</v>
          </cell>
          <cell r="I60">
            <v>14400</v>
          </cell>
          <cell r="J60">
            <v>0</v>
          </cell>
          <cell r="K60">
            <v>14400</v>
          </cell>
          <cell r="L60">
            <v>14400</v>
          </cell>
          <cell r="M60">
            <v>28800</v>
          </cell>
          <cell r="N60">
            <v>14400</v>
          </cell>
        </row>
        <row r="61">
          <cell r="A61" t="str">
            <v>9410</v>
          </cell>
          <cell r="B61" t="str">
            <v>013808420</v>
          </cell>
          <cell r="C61">
            <v>26400</v>
          </cell>
          <cell r="D61">
            <v>28800</v>
          </cell>
          <cell r="E61">
            <v>43200</v>
          </cell>
          <cell r="F61">
            <v>14400</v>
          </cell>
          <cell r="G61">
            <v>0</v>
          </cell>
          <cell r="H61">
            <v>12000</v>
          </cell>
          <cell r="I61">
            <v>14400</v>
          </cell>
          <cell r="J61">
            <v>0</v>
          </cell>
          <cell r="K61">
            <v>14400</v>
          </cell>
          <cell r="L61">
            <v>14400</v>
          </cell>
          <cell r="M61">
            <v>28800</v>
          </cell>
          <cell r="N61">
            <v>0</v>
          </cell>
        </row>
        <row r="62">
          <cell r="A62" t="str">
            <v>9410</v>
          </cell>
          <cell r="B62" t="str">
            <v>013809140</v>
          </cell>
          <cell r="C62">
            <v>26400</v>
          </cell>
          <cell r="D62">
            <v>28800</v>
          </cell>
          <cell r="E62">
            <v>28800</v>
          </cell>
          <cell r="F62">
            <v>16800</v>
          </cell>
          <cell r="G62">
            <v>0</v>
          </cell>
          <cell r="H62">
            <v>9600</v>
          </cell>
          <cell r="I62">
            <v>14400</v>
          </cell>
          <cell r="J62">
            <v>14400</v>
          </cell>
          <cell r="K62">
            <v>0</v>
          </cell>
          <cell r="L62">
            <v>14400</v>
          </cell>
          <cell r="M62">
            <v>14400</v>
          </cell>
          <cell r="N62">
            <v>0</v>
          </cell>
        </row>
        <row r="63">
          <cell r="A63" t="str">
            <v>9410</v>
          </cell>
          <cell r="B63" t="str">
            <v>013809280</v>
          </cell>
          <cell r="C63">
            <v>26400</v>
          </cell>
          <cell r="D63">
            <v>28800</v>
          </cell>
          <cell r="E63">
            <v>36000</v>
          </cell>
          <cell r="F63">
            <v>7200</v>
          </cell>
          <cell r="G63">
            <v>12000</v>
          </cell>
          <cell r="H63">
            <v>7200</v>
          </cell>
          <cell r="I63">
            <v>7200</v>
          </cell>
          <cell r="J63">
            <v>14400</v>
          </cell>
          <cell r="K63">
            <v>7200</v>
          </cell>
          <cell r="L63">
            <v>14400</v>
          </cell>
          <cell r="M63">
            <v>14400</v>
          </cell>
          <cell r="N63">
            <v>7200</v>
          </cell>
        </row>
        <row r="64">
          <cell r="A64" t="str">
            <v>9410</v>
          </cell>
          <cell r="B64" t="str">
            <v>015600180</v>
          </cell>
          <cell r="C64">
            <v>26400</v>
          </cell>
          <cell r="D64">
            <v>33600</v>
          </cell>
          <cell r="E64">
            <v>28800</v>
          </cell>
          <cell r="F64">
            <v>9600</v>
          </cell>
          <cell r="G64">
            <v>12000</v>
          </cell>
          <cell r="H64">
            <v>4800</v>
          </cell>
          <cell r="I64">
            <v>19200</v>
          </cell>
          <cell r="J64">
            <v>9600</v>
          </cell>
          <cell r="K64">
            <v>4800</v>
          </cell>
          <cell r="L64">
            <v>21600</v>
          </cell>
          <cell r="M64">
            <v>7200</v>
          </cell>
          <cell r="N64">
            <v>0</v>
          </cell>
        </row>
        <row r="65">
          <cell r="A65" t="str">
            <v>5100</v>
          </cell>
          <cell r="B65" t="str">
            <v>012700611</v>
          </cell>
          <cell r="C65">
            <v>24000</v>
          </cell>
          <cell r="D65">
            <v>28000</v>
          </cell>
          <cell r="E65">
            <v>24000</v>
          </cell>
          <cell r="F65">
            <v>4000</v>
          </cell>
          <cell r="G65">
            <v>12000</v>
          </cell>
          <cell r="H65">
            <v>8000</v>
          </cell>
          <cell r="I65">
            <v>12000</v>
          </cell>
          <cell r="J65">
            <v>8000</v>
          </cell>
          <cell r="K65">
            <v>8000</v>
          </cell>
          <cell r="L65">
            <v>4000</v>
          </cell>
          <cell r="M65">
            <v>12000</v>
          </cell>
          <cell r="N65">
            <v>8000</v>
          </cell>
        </row>
        <row r="66">
          <cell r="A66" t="str">
            <v>9410</v>
          </cell>
          <cell r="B66" t="str">
            <v>010602132</v>
          </cell>
          <cell r="C66">
            <v>24000</v>
          </cell>
          <cell r="D66">
            <v>48000</v>
          </cell>
          <cell r="E66">
            <v>36000</v>
          </cell>
          <cell r="F66">
            <v>19200</v>
          </cell>
          <cell r="G66">
            <v>0</v>
          </cell>
          <cell r="H66">
            <v>4800</v>
          </cell>
          <cell r="I66">
            <v>24000</v>
          </cell>
          <cell r="J66">
            <v>12000</v>
          </cell>
          <cell r="K66">
            <v>12000</v>
          </cell>
          <cell r="L66">
            <v>12000</v>
          </cell>
          <cell r="M66">
            <v>12000</v>
          </cell>
          <cell r="N66">
            <v>12000</v>
          </cell>
        </row>
        <row r="67">
          <cell r="A67" t="str">
            <v>9410</v>
          </cell>
          <cell r="B67" t="str">
            <v>011402865</v>
          </cell>
          <cell r="C67">
            <v>24000</v>
          </cell>
          <cell r="D67">
            <v>28800</v>
          </cell>
          <cell r="E67">
            <v>38400</v>
          </cell>
          <cell r="F67">
            <v>9600</v>
          </cell>
          <cell r="G67">
            <v>4800</v>
          </cell>
          <cell r="H67">
            <v>9600</v>
          </cell>
          <cell r="I67">
            <v>9600</v>
          </cell>
          <cell r="J67">
            <v>9600</v>
          </cell>
          <cell r="K67">
            <v>9600</v>
          </cell>
          <cell r="L67">
            <v>28800</v>
          </cell>
          <cell r="M67">
            <v>9600</v>
          </cell>
          <cell r="N67">
            <v>0</v>
          </cell>
        </row>
        <row r="68">
          <cell r="A68" t="str">
            <v>9410</v>
          </cell>
          <cell r="B68" t="str">
            <v>013804863</v>
          </cell>
          <cell r="C68">
            <v>24000</v>
          </cell>
          <cell r="D68">
            <v>21600</v>
          </cell>
          <cell r="E68">
            <v>24000</v>
          </cell>
          <cell r="F68">
            <v>7200</v>
          </cell>
          <cell r="G68">
            <v>12000</v>
          </cell>
          <cell r="H68">
            <v>4800</v>
          </cell>
          <cell r="I68">
            <v>0</v>
          </cell>
          <cell r="J68">
            <v>21600</v>
          </cell>
          <cell r="K68">
            <v>0</v>
          </cell>
          <cell r="L68">
            <v>0</v>
          </cell>
          <cell r="M68">
            <v>24000</v>
          </cell>
          <cell r="N68">
            <v>0</v>
          </cell>
        </row>
        <row r="69">
          <cell r="A69" t="str">
            <v>9410</v>
          </cell>
          <cell r="B69" t="str">
            <v>015202520</v>
          </cell>
          <cell r="C69">
            <v>24000</v>
          </cell>
          <cell r="D69">
            <v>48000</v>
          </cell>
          <cell r="E69">
            <v>0</v>
          </cell>
          <cell r="F69">
            <v>12000</v>
          </cell>
          <cell r="G69">
            <v>12000</v>
          </cell>
          <cell r="H69">
            <v>0</v>
          </cell>
          <cell r="I69">
            <v>24000</v>
          </cell>
          <cell r="J69">
            <v>12000</v>
          </cell>
          <cell r="K69">
            <v>12000</v>
          </cell>
          <cell r="L69">
            <v>0</v>
          </cell>
          <cell r="M69">
            <v>0</v>
          </cell>
          <cell r="N69">
            <v>0</v>
          </cell>
        </row>
        <row r="70">
          <cell r="A70" t="str">
            <v>9410</v>
          </cell>
          <cell r="B70" t="str">
            <v>015600150</v>
          </cell>
          <cell r="C70">
            <v>24000</v>
          </cell>
          <cell r="D70">
            <v>79200</v>
          </cell>
          <cell r="E70">
            <v>72000</v>
          </cell>
          <cell r="F70">
            <v>7200</v>
          </cell>
          <cell r="G70">
            <v>16800</v>
          </cell>
          <cell r="H70">
            <v>0</v>
          </cell>
          <cell r="I70">
            <v>28800</v>
          </cell>
          <cell r="J70">
            <v>28800</v>
          </cell>
          <cell r="K70">
            <v>21600</v>
          </cell>
          <cell r="L70">
            <v>28800</v>
          </cell>
          <cell r="M70">
            <v>28800</v>
          </cell>
          <cell r="N70">
            <v>14400</v>
          </cell>
        </row>
        <row r="71">
          <cell r="A71" t="str">
            <v>9410</v>
          </cell>
          <cell r="B71" t="str">
            <v>015600220</v>
          </cell>
          <cell r="C71">
            <v>21600</v>
          </cell>
          <cell r="D71">
            <v>86400</v>
          </cell>
          <cell r="E71">
            <v>57600</v>
          </cell>
          <cell r="F71">
            <v>7200</v>
          </cell>
          <cell r="G71">
            <v>14400</v>
          </cell>
          <cell r="H71">
            <v>0</v>
          </cell>
          <cell r="I71">
            <v>28800</v>
          </cell>
          <cell r="J71">
            <v>36000</v>
          </cell>
          <cell r="K71">
            <v>21600</v>
          </cell>
          <cell r="L71">
            <v>21600</v>
          </cell>
          <cell r="M71">
            <v>28800</v>
          </cell>
          <cell r="N71">
            <v>7200</v>
          </cell>
        </row>
        <row r="72">
          <cell r="A72" t="str">
            <v>9420</v>
          </cell>
          <cell r="B72" t="str">
            <v>011404803</v>
          </cell>
          <cell r="C72">
            <v>21600</v>
          </cell>
          <cell r="D72">
            <v>28800</v>
          </cell>
          <cell r="E72">
            <v>38400</v>
          </cell>
          <cell r="F72">
            <v>12000</v>
          </cell>
          <cell r="G72">
            <v>0</v>
          </cell>
          <cell r="H72">
            <v>9600</v>
          </cell>
          <cell r="I72">
            <v>19200</v>
          </cell>
          <cell r="J72">
            <v>9600</v>
          </cell>
          <cell r="K72">
            <v>0</v>
          </cell>
          <cell r="L72">
            <v>19200</v>
          </cell>
          <cell r="M72">
            <v>9600</v>
          </cell>
          <cell r="N72">
            <v>9600</v>
          </cell>
        </row>
        <row r="73">
          <cell r="A73" t="str">
            <v>9420</v>
          </cell>
          <cell r="B73" t="str">
            <v>011405332</v>
          </cell>
          <cell r="C73">
            <v>21600</v>
          </cell>
          <cell r="D73">
            <v>14400</v>
          </cell>
          <cell r="E73">
            <v>19200</v>
          </cell>
          <cell r="F73">
            <v>9600</v>
          </cell>
          <cell r="G73">
            <v>7200</v>
          </cell>
          <cell r="H73">
            <v>4800</v>
          </cell>
          <cell r="I73">
            <v>9600</v>
          </cell>
          <cell r="J73">
            <v>4800</v>
          </cell>
          <cell r="K73">
            <v>0</v>
          </cell>
          <cell r="L73">
            <v>7200</v>
          </cell>
          <cell r="M73">
            <v>7200</v>
          </cell>
          <cell r="N73">
            <v>4800</v>
          </cell>
        </row>
        <row r="74">
          <cell r="A74" t="str">
            <v>9410</v>
          </cell>
          <cell r="B74" t="str">
            <v>015202530</v>
          </cell>
          <cell r="C74">
            <v>20000</v>
          </cell>
          <cell r="D74">
            <v>48000</v>
          </cell>
          <cell r="E74">
            <v>0</v>
          </cell>
          <cell r="F74">
            <v>10000</v>
          </cell>
          <cell r="G74">
            <v>10000</v>
          </cell>
          <cell r="H74">
            <v>0</v>
          </cell>
          <cell r="I74">
            <v>24000</v>
          </cell>
          <cell r="J74">
            <v>12000</v>
          </cell>
          <cell r="K74">
            <v>12000</v>
          </cell>
          <cell r="L74">
            <v>0</v>
          </cell>
          <cell r="M74">
            <v>0</v>
          </cell>
          <cell r="N74">
            <v>0</v>
          </cell>
        </row>
        <row r="75">
          <cell r="A75" t="str">
            <v>9410</v>
          </cell>
          <cell r="B75" t="str">
            <v>010700740</v>
          </cell>
          <cell r="C75">
            <v>19200</v>
          </cell>
          <cell r="D75">
            <v>19200</v>
          </cell>
          <cell r="E75">
            <v>9600</v>
          </cell>
          <cell r="F75">
            <v>9600</v>
          </cell>
          <cell r="G75">
            <v>0</v>
          </cell>
          <cell r="H75">
            <v>9600</v>
          </cell>
          <cell r="I75">
            <v>9600</v>
          </cell>
          <cell r="J75">
            <v>9600</v>
          </cell>
          <cell r="K75">
            <v>0</v>
          </cell>
          <cell r="L75">
            <v>9600</v>
          </cell>
          <cell r="M75">
            <v>0</v>
          </cell>
          <cell r="N75">
            <v>0</v>
          </cell>
        </row>
        <row r="76">
          <cell r="A76" t="str">
            <v>9410</v>
          </cell>
          <cell r="B76" t="str">
            <v>010700750</v>
          </cell>
          <cell r="C76">
            <v>19200</v>
          </cell>
          <cell r="D76">
            <v>16800</v>
          </cell>
          <cell r="E76">
            <v>9600</v>
          </cell>
          <cell r="F76">
            <v>9600</v>
          </cell>
          <cell r="G76">
            <v>4800</v>
          </cell>
          <cell r="H76">
            <v>4800</v>
          </cell>
          <cell r="I76">
            <v>9600</v>
          </cell>
          <cell r="J76">
            <v>7200</v>
          </cell>
          <cell r="K76">
            <v>0</v>
          </cell>
          <cell r="L76">
            <v>9600</v>
          </cell>
          <cell r="M76">
            <v>0</v>
          </cell>
          <cell r="N76">
            <v>0</v>
          </cell>
        </row>
        <row r="77">
          <cell r="A77" t="str">
            <v>9410</v>
          </cell>
          <cell r="B77" t="str">
            <v>013809090</v>
          </cell>
          <cell r="C77">
            <v>19200</v>
          </cell>
          <cell r="D77">
            <v>21600</v>
          </cell>
          <cell r="E77">
            <v>24000</v>
          </cell>
          <cell r="F77">
            <v>7200</v>
          </cell>
          <cell r="G77">
            <v>7200</v>
          </cell>
          <cell r="H77">
            <v>4800</v>
          </cell>
          <cell r="I77">
            <v>7200</v>
          </cell>
          <cell r="J77">
            <v>7200</v>
          </cell>
          <cell r="K77">
            <v>7200</v>
          </cell>
          <cell r="L77">
            <v>9600</v>
          </cell>
          <cell r="M77">
            <v>7200</v>
          </cell>
          <cell r="N77">
            <v>7200</v>
          </cell>
        </row>
        <row r="78">
          <cell r="A78" t="str">
            <v>9410</v>
          </cell>
          <cell r="B78" t="str">
            <v>014702581</v>
          </cell>
          <cell r="C78">
            <v>19200</v>
          </cell>
          <cell r="D78">
            <v>19200</v>
          </cell>
          <cell r="E78">
            <v>0</v>
          </cell>
          <cell r="F78">
            <v>19200</v>
          </cell>
          <cell r="G78">
            <v>0</v>
          </cell>
          <cell r="H78">
            <v>0</v>
          </cell>
          <cell r="I78">
            <v>19200</v>
          </cell>
          <cell r="J78">
            <v>0</v>
          </cell>
          <cell r="K78">
            <v>0</v>
          </cell>
          <cell r="L78">
            <v>0</v>
          </cell>
          <cell r="M78">
            <v>0</v>
          </cell>
          <cell r="N78">
            <v>0</v>
          </cell>
        </row>
        <row r="79">
          <cell r="A79" t="str">
            <v>9410</v>
          </cell>
          <cell r="B79" t="str">
            <v>014702591</v>
          </cell>
          <cell r="C79">
            <v>19200</v>
          </cell>
          <cell r="D79">
            <v>19200</v>
          </cell>
          <cell r="E79">
            <v>0</v>
          </cell>
          <cell r="F79">
            <v>19200</v>
          </cell>
          <cell r="G79">
            <v>0</v>
          </cell>
          <cell r="H79">
            <v>0</v>
          </cell>
          <cell r="I79">
            <v>19200</v>
          </cell>
          <cell r="J79">
            <v>0</v>
          </cell>
          <cell r="K79">
            <v>0</v>
          </cell>
          <cell r="L79">
            <v>0</v>
          </cell>
          <cell r="M79">
            <v>0</v>
          </cell>
          <cell r="N79">
            <v>0</v>
          </cell>
        </row>
        <row r="80">
          <cell r="A80" t="str">
            <v>5100</v>
          </cell>
          <cell r="B80" t="str">
            <v>011402932</v>
          </cell>
          <cell r="C80">
            <v>18000</v>
          </cell>
          <cell r="D80">
            <v>0</v>
          </cell>
          <cell r="E80">
            <v>0</v>
          </cell>
          <cell r="F80">
            <v>0</v>
          </cell>
          <cell r="G80">
            <v>0</v>
          </cell>
          <cell r="H80">
            <v>18000</v>
          </cell>
          <cell r="I80">
            <v>0</v>
          </cell>
          <cell r="J80">
            <v>0</v>
          </cell>
          <cell r="K80">
            <v>0</v>
          </cell>
          <cell r="L80">
            <v>0</v>
          </cell>
          <cell r="M80">
            <v>0</v>
          </cell>
          <cell r="N80">
            <v>0</v>
          </cell>
        </row>
        <row r="81">
          <cell r="A81" t="str">
            <v>5100</v>
          </cell>
          <cell r="B81" t="str">
            <v>011405194</v>
          </cell>
          <cell r="C81">
            <v>18000</v>
          </cell>
          <cell r="D81">
            <v>18000</v>
          </cell>
          <cell r="E81">
            <v>10800</v>
          </cell>
          <cell r="F81">
            <v>0</v>
          </cell>
          <cell r="G81">
            <v>10800</v>
          </cell>
          <cell r="H81">
            <v>7200</v>
          </cell>
          <cell r="I81">
            <v>7200</v>
          </cell>
          <cell r="J81">
            <v>3600</v>
          </cell>
          <cell r="K81">
            <v>7200</v>
          </cell>
          <cell r="L81">
            <v>3600</v>
          </cell>
          <cell r="M81">
            <v>3600</v>
          </cell>
          <cell r="N81">
            <v>3600</v>
          </cell>
        </row>
        <row r="82">
          <cell r="A82" t="str">
            <v>5100</v>
          </cell>
          <cell r="B82" t="str">
            <v>013808530</v>
          </cell>
          <cell r="C82">
            <v>16800</v>
          </cell>
          <cell r="D82">
            <v>16800</v>
          </cell>
          <cell r="E82">
            <v>16800</v>
          </cell>
          <cell r="F82">
            <v>8400</v>
          </cell>
          <cell r="G82">
            <v>8400</v>
          </cell>
          <cell r="H82">
            <v>0</v>
          </cell>
          <cell r="I82">
            <v>8400</v>
          </cell>
          <cell r="J82">
            <v>8400</v>
          </cell>
          <cell r="K82">
            <v>0</v>
          </cell>
          <cell r="L82">
            <v>8400</v>
          </cell>
          <cell r="M82">
            <v>8400</v>
          </cell>
          <cell r="N82">
            <v>0</v>
          </cell>
        </row>
        <row r="83">
          <cell r="A83" t="str">
            <v>9410</v>
          </cell>
          <cell r="B83" t="str">
            <v>013808241</v>
          </cell>
          <cell r="C83">
            <v>16800</v>
          </cell>
          <cell r="D83">
            <v>28800</v>
          </cell>
          <cell r="E83">
            <v>7200</v>
          </cell>
          <cell r="F83">
            <v>16800</v>
          </cell>
          <cell r="G83">
            <v>0</v>
          </cell>
          <cell r="H83">
            <v>0</v>
          </cell>
          <cell r="I83">
            <v>16800</v>
          </cell>
          <cell r="J83">
            <v>12000</v>
          </cell>
          <cell r="K83">
            <v>0</v>
          </cell>
          <cell r="L83">
            <v>0</v>
          </cell>
          <cell r="M83">
            <v>7200</v>
          </cell>
          <cell r="N83">
            <v>0</v>
          </cell>
        </row>
        <row r="84">
          <cell r="A84" t="str">
            <v>9410</v>
          </cell>
          <cell r="B84" t="str">
            <v>013809080</v>
          </cell>
          <cell r="C84">
            <v>16800</v>
          </cell>
          <cell r="D84">
            <v>24000</v>
          </cell>
          <cell r="E84">
            <v>21600</v>
          </cell>
          <cell r="F84">
            <v>14400</v>
          </cell>
          <cell r="G84">
            <v>0</v>
          </cell>
          <cell r="H84">
            <v>2400</v>
          </cell>
          <cell r="I84">
            <v>9600</v>
          </cell>
          <cell r="J84">
            <v>7200</v>
          </cell>
          <cell r="K84">
            <v>7200</v>
          </cell>
          <cell r="L84">
            <v>7200</v>
          </cell>
          <cell r="M84">
            <v>7200</v>
          </cell>
          <cell r="N84">
            <v>7200</v>
          </cell>
        </row>
        <row r="85">
          <cell r="A85" t="str">
            <v>9410</v>
          </cell>
          <cell r="B85" t="str">
            <v>015502181</v>
          </cell>
          <cell r="C85">
            <v>16800</v>
          </cell>
          <cell r="D85">
            <v>16800</v>
          </cell>
          <cell r="E85">
            <v>14400</v>
          </cell>
          <cell r="F85">
            <v>4800</v>
          </cell>
          <cell r="G85">
            <v>4800</v>
          </cell>
          <cell r="H85">
            <v>7200</v>
          </cell>
          <cell r="I85">
            <v>7200</v>
          </cell>
          <cell r="J85">
            <v>4800</v>
          </cell>
          <cell r="K85">
            <v>4800</v>
          </cell>
          <cell r="L85">
            <v>4800</v>
          </cell>
          <cell r="M85">
            <v>4800</v>
          </cell>
          <cell r="N85">
            <v>4800</v>
          </cell>
        </row>
        <row r="86">
          <cell r="A86" t="str">
            <v>9410</v>
          </cell>
          <cell r="B86" t="str">
            <v>015502191</v>
          </cell>
          <cell r="C86">
            <v>16800</v>
          </cell>
          <cell r="D86">
            <v>36000</v>
          </cell>
          <cell r="E86">
            <v>28800</v>
          </cell>
          <cell r="F86">
            <v>9600</v>
          </cell>
          <cell r="G86">
            <v>7200</v>
          </cell>
          <cell r="H86">
            <v>0</v>
          </cell>
          <cell r="I86">
            <v>28800</v>
          </cell>
          <cell r="J86">
            <v>0</v>
          </cell>
          <cell r="K86">
            <v>7200</v>
          </cell>
          <cell r="L86">
            <v>14400</v>
          </cell>
          <cell r="M86">
            <v>0</v>
          </cell>
          <cell r="N86">
            <v>14400</v>
          </cell>
        </row>
        <row r="87">
          <cell r="A87" t="str">
            <v>9410</v>
          </cell>
          <cell r="B87" t="str">
            <v>015502920</v>
          </cell>
          <cell r="C87">
            <v>16800</v>
          </cell>
          <cell r="D87">
            <v>12000</v>
          </cell>
          <cell r="E87">
            <v>12000</v>
          </cell>
          <cell r="F87">
            <v>4800</v>
          </cell>
          <cell r="G87">
            <v>7200</v>
          </cell>
          <cell r="H87">
            <v>4800</v>
          </cell>
          <cell r="I87">
            <v>2400</v>
          </cell>
          <cell r="J87">
            <v>4800</v>
          </cell>
          <cell r="K87">
            <v>4800</v>
          </cell>
          <cell r="L87">
            <v>4800</v>
          </cell>
          <cell r="M87">
            <v>4800</v>
          </cell>
          <cell r="N87">
            <v>2400</v>
          </cell>
        </row>
        <row r="88">
          <cell r="A88" t="str">
            <v>5100</v>
          </cell>
          <cell r="B88" t="str">
            <v>014002290</v>
          </cell>
          <cell r="C88">
            <v>16000</v>
          </cell>
          <cell r="D88">
            <v>16000</v>
          </cell>
          <cell r="E88">
            <v>16000</v>
          </cell>
          <cell r="F88">
            <v>4000</v>
          </cell>
          <cell r="G88">
            <v>8000</v>
          </cell>
          <cell r="H88">
            <v>4000</v>
          </cell>
          <cell r="I88">
            <v>4000</v>
          </cell>
          <cell r="J88">
            <v>4000</v>
          </cell>
          <cell r="K88">
            <v>8000</v>
          </cell>
          <cell r="L88">
            <v>4000</v>
          </cell>
          <cell r="M88">
            <v>4000</v>
          </cell>
          <cell r="N88">
            <v>8000</v>
          </cell>
        </row>
        <row r="89">
          <cell r="A89" t="str">
            <v>5100</v>
          </cell>
          <cell r="B89" t="str">
            <v>014002310</v>
          </cell>
          <cell r="C89">
            <v>16000</v>
          </cell>
          <cell r="D89">
            <v>8000</v>
          </cell>
          <cell r="E89">
            <v>12000</v>
          </cell>
          <cell r="F89">
            <v>8000</v>
          </cell>
          <cell r="G89">
            <v>4000</v>
          </cell>
          <cell r="H89">
            <v>4000</v>
          </cell>
          <cell r="I89">
            <v>0</v>
          </cell>
          <cell r="J89">
            <v>4000</v>
          </cell>
          <cell r="K89">
            <v>4000</v>
          </cell>
          <cell r="L89">
            <v>4000</v>
          </cell>
          <cell r="M89">
            <v>4000</v>
          </cell>
          <cell r="N89">
            <v>4000</v>
          </cell>
        </row>
        <row r="90">
          <cell r="A90" t="str">
            <v>5100</v>
          </cell>
          <cell r="B90" t="str">
            <v>015202770</v>
          </cell>
          <cell r="C90">
            <v>16000</v>
          </cell>
          <cell r="D90">
            <v>8000</v>
          </cell>
          <cell r="E90">
            <v>0</v>
          </cell>
          <cell r="F90">
            <v>8000</v>
          </cell>
          <cell r="G90">
            <v>0</v>
          </cell>
          <cell r="H90">
            <v>8000</v>
          </cell>
          <cell r="I90">
            <v>0</v>
          </cell>
          <cell r="J90">
            <v>8000</v>
          </cell>
          <cell r="K90">
            <v>0</v>
          </cell>
          <cell r="L90">
            <v>0</v>
          </cell>
          <cell r="M90">
            <v>0</v>
          </cell>
          <cell r="N90">
            <v>0</v>
          </cell>
        </row>
        <row r="91">
          <cell r="A91" t="str">
            <v>5100</v>
          </cell>
          <cell r="B91" t="str">
            <v>015202850</v>
          </cell>
          <cell r="C91">
            <v>16000</v>
          </cell>
          <cell r="D91">
            <v>8000</v>
          </cell>
          <cell r="E91">
            <v>8000</v>
          </cell>
          <cell r="F91">
            <v>0</v>
          </cell>
          <cell r="G91">
            <v>8000</v>
          </cell>
          <cell r="H91">
            <v>8000</v>
          </cell>
          <cell r="I91">
            <v>0</v>
          </cell>
          <cell r="J91">
            <v>8000</v>
          </cell>
          <cell r="K91">
            <v>0</v>
          </cell>
          <cell r="L91">
            <v>8000</v>
          </cell>
          <cell r="M91">
            <v>0</v>
          </cell>
          <cell r="N91">
            <v>0</v>
          </cell>
        </row>
        <row r="92">
          <cell r="A92" t="str">
            <v>9420</v>
          </cell>
          <cell r="B92" t="str">
            <v>011405411</v>
          </cell>
          <cell r="C92">
            <v>16000</v>
          </cell>
          <cell r="D92">
            <v>16000</v>
          </cell>
          <cell r="E92">
            <v>16000</v>
          </cell>
          <cell r="F92">
            <v>8000</v>
          </cell>
          <cell r="G92">
            <v>8000</v>
          </cell>
          <cell r="H92">
            <v>0</v>
          </cell>
          <cell r="I92">
            <v>8000</v>
          </cell>
          <cell r="J92">
            <v>0</v>
          </cell>
          <cell r="K92">
            <v>8000</v>
          </cell>
          <cell r="L92">
            <v>8000</v>
          </cell>
          <cell r="M92">
            <v>0</v>
          </cell>
          <cell r="N92">
            <v>8000</v>
          </cell>
        </row>
        <row r="93">
          <cell r="A93" t="str">
            <v>0000</v>
          </cell>
          <cell r="B93" t="str">
            <v>019400540</v>
          </cell>
          <cell r="C93">
            <v>15542</v>
          </cell>
          <cell r="D93">
            <v>0</v>
          </cell>
          <cell r="E93">
            <v>0</v>
          </cell>
          <cell r="F93">
            <v>15542</v>
          </cell>
          <cell r="G93">
            <v>0</v>
          </cell>
          <cell r="H93">
            <v>0</v>
          </cell>
          <cell r="I93">
            <v>0</v>
          </cell>
          <cell r="J93">
            <v>0</v>
          </cell>
          <cell r="K93">
            <v>0</v>
          </cell>
          <cell r="L93">
            <v>0</v>
          </cell>
          <cell r="M93">
            <v>0</v>
          </cell>
          <cell r="N93">
            <v>0</v>
          </cell>
        </row>
        <row r="94">
          <cell r="A94" t="str">
            <v>5100</v>
          </cell>
          <cell r="B94" t="str">
            <v>010901700</v>
          </cell>
          <cell r="C94">
            <v>14400</v>
          </cell>
          <cell r="D94">
            <v>14400</v>
          </cell>
          <cell r="E94">
            <v>7200</v>
          </cell>
          <cell r="F94">
            <v>3600</v>
          </cell>
          <cell r="G94">
            <v>3600</v>
          </cell>
          <cell r="H94">
            <v>7200</v>
          </cell>
          <cell r="I94">
            <v>3600</v>
          </cell>
          <cell r="J94">
            <v>7200</v>
          </cell>
          <cell r="K94">
            <v>3600</v>
          </cell>
          <cell r="L94">
            <v>3600</v>
          </cell>
          <cell r="M94">
            <v>3600</v>
          </cell>
          <cell r="N94">
            <v>0</v>
          </cell>
        </row>
        <row r="95">
          <cell r="A95" t="str">
            <v>5100</v>
          </cell>
          <cell r="B95" t="str">
            <v>011405182</v>
          </cell>
          <cell r="C95">
            <v>14400</v>
          </cell>
          <cell r="D95">
            <v>21600</v>
          </cell>
          <cell r="E95">
            <v>7200</v>
          </cell>
          <cell r="F95">
            <v>0</v>
          </cell>
          <cell r="G95">
            <v>7200</v>
          </cell>
          <cell r="H95">
            <v>7200</v>
          </cell>
          <cell r="I95">
            <v>7200</v>
          </cell>
          <cell r="J95">
            <v>7200</v>
          </cell>
          <cell r="K95">
            <v>7200</v>
          </cell>
          <cell r="L95">
            <v>3600</v>
          </cell>
          <cell r="M95">
            <v>0</v>
          </cell>
          <cell r="N95">
            <v>3600</v>
          </cell>
        </row>
        <row r="96">
          <cell r="A96" t="str">
            <v>9410</v>
          </cell>
          <cell r="B96" t="str">
            <v>013701491</v>
          </cell>
          <cell r="C96">
            <v>14400</v>
          </cell>
          <cell r="D96">
            <v>0</v>
          </cell>
          <cell r="E96">
            <v>0</v>
          </cell>
          <cell r="F96">
            <v>14400</v>
          </cell>
          <cell r="G96">
            <v>0</v>
          </cell>
          <cell r="H96">
            <v>0</v>
          </cell>
          <cell r="I96">
            <v>0</v>
          </cell>
          <cell r="J96">
            <v>0</v>
          </cell>
          <cell r="K96">
            <v>0</v>
          </cell>
          <cell r="L96">
            <v>0</v>
          </cell>
          <cell r="M96">
            <v>0</v>
          </cell>
          <cell r="N96">
            <v>0</v>
          </cell>
        </row>
        <row r="97">
          <cell r="A97" t="str">
            <v>9410</v>
          </cell>
          <cell r="B97" t="str">
            <v>013805474</v>
          </cell>
          <cell r="C97">
            <v>14400</v>
          </cell>
          <cell r="D97">
            <v>14400</v>
          </cell>
          <cell r="E97">
            <v>12000</v>
          </cell>
          <cell r="F97">
            <v>12000</v>
          </cell>
          <cell r="G97">
            <v>0</v>
          </cell>
          <cell r="H97">
            <v>2400</v>
          </cell>
          <cell r="I97">
            <v>14400</v>
          </cell>
          <cell r="J97">
            <v>0</v>
          </cell>
          <cell r="K97">
            <v>0</v>
          </cell>
          <cell r="L97">
            <v>12000</v>
          </cell>
          <cell r="M97">
            <v>0</v>
          </cell>
          <cell r="N97">
            <v>0</v>
          </cell>
        </row>
        <row r="98">
          <cell r="A98" t="str">
            <v>9410</v>
          </cell>
          <cell r="B98" t="str">
            <v>013806730</v>
          </cell>
          <cell r="C98">
            <v>14400</v>
          </cell>
          <cell r="D98">
            <v>0</v>
          </cell>
          <cell r="E98">
            <v>4800</v>
          </cell>
          <cell r="F98">
            <v>14400</v>
          </cell>
          <cell r="G98">
            <v>0</v>
          </cell>
          <cell r="H98">
            <v>0</v>
          </cell>
          <cell r="I98">
            <v>0</v>
          </cell>
          <cell r="J98">
            <v>0</v>
          </cell>
          <cell r="K98">
            <v>0</v>
          </cell>
          <cell r="L98">
            <v>0</v>
          </cell>
          <cell r="M98">
            <v>4800</v>
          </cell>
          <cell r="N98">
            <v>0</v>
          </cell>
        </row>
        <row r="99">
          <cell r="A99" t="str">
            <v>9410</v>
          </cell>
          <cell r="B99" t="str">
            <v>013809100</v>
          </cell>
          <cell r="C99">
            <v>14400</v>
          </cell>
          <cell r="D99">
            <v>0</v>
          </cell>
          <cell r="E99">
            <v>0</v>
          </cell>
          <cell r="F99">
            <v>7200</v>
          </cell>
          <cell r="G99">
            <v>7200</v>
          </cell>
          <cell r="H99">
            <v>0</v>
          </cell>
          <cell r="I99">
            <v>0</v>
          </cell>
          <cell r="J99">
            <v>0</v>
          </cell>
          <cell r="K99">
            <v>0</v>
          </cell>
          <cell r="L99">
            <v>0</v>
          </cell>
          <cell r="M99">
            <v>0</v>
          </cell>
          <cell r="N99">
            <v>0</v>
          </cell>
        </row>
        <row r="100">
          <cell r="A100" t="str">
            <v>9410</v>
          </cell>
          <cell r="B100" t="str">
            <v>013809130</v>
          </cell>
          <cell r="C100">
            <v>14400</v>
          </cell>
          <cell r="D100">
            <v>7200</v>
          </cell>
          <cell r="E100">
            <v>14400</v>
          </cell>
          <cell r="F100">
            <v>14400</v>
          </cell>
          <cell r="G100">
            <v>0</v>
          </cell>
          <cell r="H100">
            <v>0</v>
          </cell>
          <cell r="I100">
            <v>7200</v>
          </cell>
          <cell r="J100">
            <v>0</v>
          </cell>
          <cell r="K100">
            <v>0</v>
          </cell>
          <cell r="L100">
            <v>7200</v>
          </cell>
          <cell r="M100">
            <v>7200</v>
          </cell>
          <cell r="N100">
            <v>0</v>
          </cell>
        </row>
        <row r="101">
          <cell r="A101" t="str">
            <v>9410</v>
          </cell>
          <cell r="B101" t="str">
            <v>014701991</v>
          </cell>
          <cell r="C101">
            <v>14400</v>
          </cell>
          <cell r="D101">
            <v>12000</v>
          </cell>
          <cell r="E101">
            <v>0</v>
          </cell>
          <cell r="F101">
            <v>12000</v>
          </cell>
          <cell r="G101">
            <v>0</v>
          </cell>
          <cell r="H101">
            <v>2400</v>
          </cell>
          <cell r="I101">
            <v>12000</v>
          </cell>
          <cell r="J101">
            <v>0</v>
          </cell>
          <cell r="K101">
            <v>0</v>
          </cell>
          <cell r="L101">
            <v>0</v>
          </cell>
          <cell r="M101">
            <v>0</v>
          </cell>
          <cell r="N101">
            <v>0</v>
          </cell>
        </row>
        <row r="102">
          <cell r="A102" t="str">
            <v>9410</v>
          </cell>
          <cell r="B102" t="str">
            <v>015501493</v>
          </cell>
          <cell r="C102">
            <v>14400</v>
          </cell>
          <cell r="D102">
            <v>14400</v>
          </cell>
          <cell r="E102">
            <v>14400</v>
          </cell>
          <cell r="F102">
            <v>7200</v>
          </cell>
          <cell r="G102">
            <v>7200</v>
          </cell>
          <cell r="H102">
            <v>0</v>
          </cell>
          <cell r="I102">
            <v>4800</v>
          </cell>
          <cell r="J102">
            <v>9600</v>
          </cell>
          <cell r="K102">
            <v>0</v>
          </cell>
          <cell r="L102">
            <v>7200</v>
          </cell>
          <cell r="M102">
            <v>7200</v>
          </cell>
          <cell r="N102">
            <v>0</v>
          </cell>
        </row>
        <row r="103">
          <cell r="A103" t="str">
            <v>9420</v>
          </cell>
          <cell r="B103" t="str">
            <v>014002182</v>
          </cell>
          <cell r="C103">
            <v>14400</v>
          </cell>
          <cell r="D103">
            <v>21600</v>
          </cell>
          <cell r="E103">
            <v>7200</v>
          </cell>
          <cell r="F103">
            <v>7200</v>
          </cell>
          <cell r="G103">
            <v>7200</v>
          </cell>
          <cell r="H103">
            <v>0</v>
          </cell>
          <cell r="I103">
            <v>14400</v>
          </cell>
          <cell r="J103">
            <v>0</v>
          </cell>
          <cell r="K103">
            <v>7200</v>
          </cell>
          <cell r="L103">
            <v>3600</v>
          </cell>
          <cell r="M103">
            <v>3600</v>
          </cell>
          <cell r="N103">
            <v>0</v>
          </cell>
        </row>
        <row r="104">
          <cell r="A104" t="str">
            <v>9420</v>
          </cell>
          <cell r="B104" t="str">
            <v>011403592</v>
          </cell>
          <cell r="C104">
            <v>14000</v>
          </cell>
          <cell r="D104">
            <v>6000</v>
          </cell>
          <cell r="E104">
            <v>6000</v>
          </cell>
          <cell r="F104">
            <v>6000</v>
          </cell>
          <cell r="G104">
            <v>0</v>
          </cell>
          <cell r="H104">
            <v>8000</v>
          </cell>
          <cell r="I104">
            <v>0</v>
          </cell>
          <cell r="J104">
            <v>6000</v>
          </cell>
          <cell r="K104">
            <v>0</v>
          </cell>
          <cell r="L104">
            <v>0</v>
          </cell>
          <cell r="M104">
            <v>6000</v>
          </cell>
          <cell r="N104">
            <v>0</v>
          </cell>
        </row>
        <row r="105">
          <cell r="A105" t="str">
            <v>9410</v>
          </cell>
          <cell r="B105" t="str">
            <v>010602510</v>
          </cell>
          <cell r="C105">
            <v>12000</v>
          </cell>
          <cell r="D105">
            <v>0</v>
          </cell>
          <cell r="E105">
            <v>0</v>
          </cell>
          <cell r="F105">
            <v>12000</v>
          </cell>
          <cell r="G105">
            <v>0</v>
          </cell>
          <cell r="H105">
            <v>0</v>
          </cell>
          <cell r="I105">
            <v>0</v>
          </cell>
          <cell r="J105">
            <v>0</v>
          </cell>
          <cell r="K105">
            <v>0</v>
          </cell>
          <cell r="L105">
            <v>0</v>
          </cell>
          <cell r="M105">
            <v>0</v>
          </cell>
          <cell r="N105">
            <v>0</v>
          </cell>
        </row>
        <row r="106">
          <cell r="A106" t="str">
            <v>9410</v>
          </cell>
          <cell r="B106" t="str">
            <v>013701501</v>
          </cell>
          <cell r="C106">
            <v>12000</v>
          </cell>
          <cell r="D106">
            <v>0</v>
          </cell>
          <cell r="E106">
            <v>0</v>
          </cell>
          <cell r="F106">
            <v>12000</v>
          </cell>
          <cell r="G106">
            <v>0</v>
          </cell>
          <cell r="H106">
            <v>0</v>
          </cell>
          <cell r="I106">
            <v>0</v>
          </cell>
          <cell r="J106">
            <v>0</v>
          </cell>
          <cell r="K106">
            <v>0</v>
          </cell>
          <cell r="L106">
            <v>0</v>
          </cell>
          <cell r="M106">
            <v>0</v>
          </cell>
          <cell r="N106">
            <v>0</v>
          </cell>
        </row>
        <row r="107">
          <cell r="A107" t="str">
            <v>9410</v>
          </cell>
          <cell r="B107" t="str">
            <v>013807150</v>
          </cell>
          <cell r="C107">
            <v>12000</v>
          </cell>
          <cell r="D107">
            <v>36000</v>
          </cell>
          <cell r="E107">
            <v>12000</v>
          </cell>
          <cell r="F107">
            <v>0</v>
          </cell>
          <cell r="G107">
            <v>12000</v>
          </cell>
          <cell r="H107">
            <v>0</v>
          </cell>
          <cell r="I107">
            <v>12000</v>
          </cell>
          <cell r="J107">
            <v>12000</v>
          </cell>
          <cell r="K107">
            <v>12000</v>
          </cell>
          <cell r="L107">
            <v>0</v>
          </cell>
          <cell r="M107">
            <v>0</v>
          </cell>
          <cell r="N107">
            <v>12000</v>
          </cell>
        </row>
        <row r="108">
          <cell r="A108" t="str">
            <v>9410</v>
          </cell>
          <cell r="B108" t="str">
            <v>013808190</v>
          </cell>
          <cell r="C108">
            <v>12000</v>
          </cell>
          <cell r="D108">
            <v>0</v>
          </cell>
          <cell r="E108">
            <v>0</v>
          </cell>
          <cell r="F108">
            <v>12000</v>
          </cell>
          <cell r="G108">
            <v>0</v>
          </cell>
          <cell r="H108">
            <v>0</v>
          </cell>
          <cell r="I108">
            <v>0</v>
          </cell>
          <cell r="J108">
            <v>0</v>
          </cell>
          <cell r="K108">
            <v>0</v>
          </cell>
          <cell r="L108">
            <v>0</v>
          </cell>
          <cell r="M108">
            <v>0</v>
          </cell>
          <cell r="N108">
            <v>0</v>
          </cell>
        </row>
        <row r="109">
          <cell r="A109" t="str">
            <v>9410</v>
          </cell>
          <cell r="B109" t="str">
            <v>013809242</v>
          </cell>
          <cell r="C109">
            <v>12000</v>
          </cell>
          <cell r="D109">
            <v>9600</v>
          </cell>
          <cell r="E109">
            <v>12000</v>
          </cell>
          <cell r="F109">
            <v>4800</v>
          </cell>
          <cell r="G109">
            <v>4800</v>
          </cell>
          <cell r="H109">
            <v>2400</v>
          </cell>
          <cell r="I109">
            <v>4800</v>
          </cell>
          <cell r="J109">
            <v>4800</v>
          </cell>
          <cell r="K109">
            <v>0</v>
          </cell>
          <cell r="L109">
            <v>4800</v>
          </cell>
          <cell r="M109">
            <v>4800</v>
          </cell>
          <cell r="N109">
            <v>2400</v>
          </cell>
        </row>
        <row r="110">
          <cell r="A110" t="str">
            <v>9410</v>
          </cell>
          <cell r="B110" t="str">
            <v>014701981</v>
          </cell>
          <cell r="C110">
            <v>12000</v>
          </cell>
          <cell r="D110">
            <v>12000</v>
          </cell>
          <cell r="E110">
            <v>0</v>
          </cell>
          <cell r="F110">
            <v>12000</v>
          </cell>
          <cell r="G110">
            <v>0</v>
          </cell>
          <cell r="H110">
            <v>0</v>
          </cell>
          <cell r="I110">
            <v>12000</v>
          </cell>
          <cell r="J110">
            <v>0</v>
          </cell>
          <cell r="K110">
            <v>0</v>
          </cell>
          <cell r="L110">
            <v>0</v>
          </cell>
          <cell r="M110">
            <v>0</v>
          </cell>
          <cell r="N110">
            <v>0</v>
          </cell>
        </row>
        <row r="111">
          <cell r="A111" t="str">
            <v>9410</v>
          </cell>
          <cell r="B111" t="str">
            <v>015202840</v>
          </cell>
          <cell r="C111">
            <v>12000</v>
          </cell>
          <cell r="D111">
            <v>0</v>
          </cell>
          <cell r="E111">
            <v>0</v>
          </cell>
          <cell r="F111">
            <v>6000</v>
          </cell>
          <cell r="G111">
            <v>6000</v>
          </cell>
          <cell r="H111">
            <v>0</v>
          </cell>
          <cell r="I111">
            <v>0</v>
          </cell>
          <cell r="J111">
            <v>0</v>
          </cell>
          <cell r="K111">
            <v>0</v>
          </cell>
          <cell r="L111">
            <v>0</v>
          </cell>
          <cell r="M111">
            <v>0</v>
          </cell>
          <cell r="N111">
            <v>0</v>
          </cell>
        </row>
        <row r="112">
          <cell r="A112" t="str">
            <v>9410</v>
          </cell>
          <cell r="B112" t="str">
            <v>019400321</v>
          </cell>
          <cell r="C112">
            <v>12000</v>
          </cell>
          <cell r="D112">
            <v>19200</v>
          </cell>
          <cell r="E112">
            <v>21600</v>
          </cell>
          <cell r="F112">
            <v>4800</v>
          </cell>
          <cell r="G112">
            <v>0</v>
          </cell>
          <cell r="H112">
            <v>7200</v>
          </cell>
          <cell r="I112">
            <v>0</v>
          </cell>
          <cell r="J112">
            <v>19200</v>
          </cell>
          <cell r="K112">
            <v>0</v>
          </cell>
          <cell r="L112">
            <v>0</v>
          </cell>
          <cell r="M112">
            <v>21600</v>
          </cell>
          <cell r="N112">
            <v>0</v>
          </cell>
        </row>
        <row r="113">
          <cell r="A113" t="str">
            <v>9410</v>
          </cell>
          <cell r="B113" t="str">
            <v>019400391</v>
          </cell>
          <cell r="C113">
            <v>12000</v>
          </cell>
          <cell r="D113">
            <v>12000</v>
          </cell>
          <cell r="E113">
            <v>0</v>
          </cell>
          <cell r="F113">
            <v>0</v>
          </cell>
          <cell r="G113">
            <v>0</v>
          </cell>
          <cell r="H113">
            <v>12000</v>
          </cell>
          <cell r="I113">
            <v>0</v>
          </cell>
          <cell r="J113">
            <v>0</v>
          </cell>
          <cell r="K113">
            <v>12000</v>
          </cell>
          <cell r="L113">
            <v>0</v>
          </cell>
          <cell r="M113">
            <v>0</v>
          </cell>
          <cell r="N113">
            <v>0</v>
          </cell>
        </row>
        <row r="114">
          <cell r="A114" t="str">
            <v>5100</v>
          </cell>
          <cell r="B114" t="str">
            <v>010901710</v>
          </cell>
          <cell r="C114">
            <v>10800</v>
          </cell>
          <cell r="D114">
            <v>10800</v>
          </cell>
          <cell r="E114">
            <v>14400</v>
          </cell>
          <cell r="F114">
            <v>0</v>
          </cell>
          <cell r="G114">
            <v>3600</v>
          </cell>
          <cell r="H114">
            <v>7200</v>
          </cell>
          <cell r="I114">
            <v>3600</v>
          </cell>
          <cell r="J114">
            <v>3600</v>
          </cell>
          <cell r="K114">
            <v>3600</v>
          </cell>
          <cell r="L114">
            <v>7200</v>
          </cell>
          <cell r="M114">
            <v>3600</v>
          </cell>
          <cell r="N114">
            <v>3600</v>
          </cell>
        </row>
        <row r="115">
          <cell r="A115" t="str">
            <v>5100</v>
          </cell>
          <cell r="B115" t="str">
            <v>012201502</v>
          </cell>
          <cell r="C115">
            <v>10800</v>
          </cell>
          <cell r="D115">
            <v>7200</v>
          </cell>
          <cell r="E115">
            <v>3600</v>
          </cell>
          <cell r="F115">
            <v>3600</v>
          </cell>
          <cell r="G115">
            <v>3600</v>
          </cell>
          <cell r="H115">
            <v>3600</v>
          </cell>
          <cell r="I115">
            <v>0</v>
          </cell>
          <cell r="J115">
            <v>3600</v>
          </cell>
          <cell r="K115">
            <v>3600</v>
          </cell>
          <cell r="L115">
            <v>0</v>
          </cell>
          <cell r="M115">
            <v>0</v>
          </cell>
          <cell r="N115">
            <v>3600</v>
          </cell>
        </row>
        <row r="116">
          <cell r="A116" t="str">
            <v>5100</v>
          </cell>
          <cell r="B116" t="str">
            <v>012700710</v>
          </cell>
          <cell r="C116">
            <v>10800</v>
          </cell>
          <cell r="D116">
            <v>7200</v>
          </cell>
          <cell r="E116">
            <v>3600</v>
          </cell>
          <cell r="F116">
            <v>0</v>
          </cell>
          <cell r="G116">
            <v>7200</v>
          </cell>
          <cell r="H116">
            <v>3600</v>
          </cell>
          <cell r="I116">
            <v>3600</v>
          </cell>
          <cell r="J116">
            <v>3600</v>
          </cell>
          <cell r="K116">
            <v>0</v>
          </cell>
          <cell r="L116">
            <v>3600</v>
          </cell>
          <cell r="M116">
            <v>0</v>
          </cell>
          <cell r="N116">
            <v>0</v>
          </cell>
        </row>
        <row r="117">
          <cell r="A117" t="str">
            <v>9420</v>
          </cell>
          <cell r="B117" t="str">
            <v>011403061</v>
          </cell>
          <cell r="C117">
            <v>10000</v>
          </cell>
          <cell r="D117">
            <v>10000</v>
          </cell>
          <cell r="E117">
            <v>0</v>
          </cell>
          <cell r="F117">
            <v>0</v>
          </cell>
          <cell r="G117">
            <v>10000</v>
          </cell>
          <cell r="H117">
            <v>0</v>
          </cell>
          <cell r="I117">
            <v>10000</v>
          </cell>
          <cell r="J117">
            <v>0</v>
          </cell>
          <cell r="K117">
            <v>0</v>
          </cell>
          <cell r="L117">
            <v>0</v>
          </cell>
          <cell r="M117">
            <v>0</v>
          </cell>
          <cell r="N117">
            <v>0</v>
          </cell>
        </row>
        <row r="118">
          <cell r="A118" t="str">
            <v>9420</v>
          </cell>
          <cell r="B118" t="str">
            <v>012201611</v>
          </cell>
          <cell r="C118">
            <v>10000</v>
          </cell>
          <cell r="D118">
            <v>0</v>
          </cell>
          <cell r="E118">
            <v>0</v>
          </cell>
          <cell r="F118">
            <v>0</v>
          </cell>
          <cell r="G118">
            <v>0</v>
          </cell>
          <cell r="H118">
            <v>10000</v>
          </cell>
          <cell r="I118">
            <v>0</v>
          </cell>
          <cell r="J118">
            <v>0</v>
          </cell>
          <cell r="K118">
            <v>0</v>
          </cell>
          <cell r="L118">
            <v>0</v>
          </cell>
          <cell r="M118">
            <v>0</v>
          </cell>
          <cell r="N118">
            <v>0</v>
          </cell>
        </row>
        <row r="119">
          <cell r="A119" t="str">
            <v>9420</v>
          </cell>
          <cell r="B119" t="str">
            <v>014701911</v>
          </cell>
          <cell r="C119">
            <v>10000</v>
          </cell>
          <cell r="D119">
            <v>0</v>
          </cell>
          <cell r="E119">
            <v>0</v>
          </cell>
          <cell r="F119">
            <v>0</v>
          </cell>
          <cell r="G119">
            <v>10000</v>
          </cell>
          <cell r="H119">
            <v>0</v>
          </cell>
          <cell r="I119">
            <v>0</v>
          </cell>
          <cell r="J119">
            <v>0</v>
          </cell>
          <cell r="K119">
            <v>0</v>
          </cell>
          <cell r="L119">
            <v>0</v>
          </cell>
          <cell r="M119">
            <v>0</v>
          </cell>
          <cell r="N119">
            <v>0</v>
          </cell>
        </row>
        <row r="120">
          <cell r="A120" t="str">
            <v>9420</v>
          </cell>
          <cell r="B120" t="str">
            <v>015500802</v>
          </cell>
          <cell r="C120">
            <v>10000</v>
          </cell>
          <cell r="D120">
            <v>0</v>
          </cell>
          <cell r="E120">
            <v>0</v>
          </cell>
          <cell r="F120">
            <v>0</v>
          </cell>
          <cell r="G120">
            <v>0</v>
          </cell>
          <cell r="H120">
            <v>10000</v>
          </cell>
          <cell r="I120">
            <v>0</v>
          </cell>
          <cell r="J120">
            <v>0</v>
          </cell>
          <cell r="K120">
            <v>0</v>
          </cell>
          <cell r="L120">
            <v>0</v>
          </cell>
          <cell r="M120">
            <v>0</v>
          </cell>
          <cell r="N120">
            <v>0</v>
          </cell>
        </row>
        <row r="121">
          <cell r="A121" t="str">
            <v>9420</v>
          </cell>
          <cell r="B121" t="str">
            <v>015500812</v>
          </cell>
          <cell r="C121">
            <v>10000</v>
          </cell>
          <cell r="D121">
            <v>0</v>
          </cell>
          <cell r="E121">
            <v>0</v>
          </cell>
          <cell r="F121">
            <v>4000</v>
          </cell>
          <cell r="G121">
            <v>0</v>
          </cell>
          <cell r="H121">
            <v>6000</v>
          </cell>
          <cell r="I121">
            <v>0</v>
          </cell>
          <cell r="J121">
            <v>0</v>
          </cell>
          <cell r="K121">
            <v>0</v>
          </cell>
          <cell r="L121">
            <v>0</v>
          </cell>
          <cell r="M121">
            <v>0</v>
          </cell>
          <cell r="N121">
            <v>0</v>
          </cell>
        </row>
        <row r="122">
          <cell r="A122" t="str">
            <v>9410</v>
          </cell>
          <cell r="B122" t="str">
            <v>010602081</v>
          </cell>
          <cell r="C122">
            <v>9600</v>
          </cell>
          <cell r="D122">
            <v>14400</v>
          </cell>
          <cell r="E122">
            <v>14400</v>
          </cell>
          <cell r="F122">
            <v>9600</v>
          </cell>
          <cell r="G122">
            <v>0</v>
          </cell>
          <cell r="H122">
            <v>0</v>
          </cell>
          <cell r="I122">
            <v>14400</v>
          </cell>
          <cell r="J122">
            <v>0</v>
          </cell>
          <cell r="K122">
            <v>0</v>
          </cell>
          <cell r="L122">
            <v>14400</v>
          </cell>
          <cell r="M122">
            <v>0</v>
          </cell>
          <cell r="N122">
            <v>0</v>
          </cell>
        </row>
        <row r="123">
          <cell r="A123" t="str">
            <v>9410</v>
          </cell>
          <cell r="B123" t="str">
            <v>010602091</v>
          </cell>
          <cell r="C123">
            <v>9600</v>
          </cell>
          <cell r="D123">
            <v>14400</v>
          </cell>
          <cell r="E123">
            <v>14400</v>
          </cell>
          <cell r="F123">
            <v>9600</v>
          </cell>
          <cell r="G123">
            <v>0</v>
          </cell>
          <cell r="H123">
            <v>0</v>
          </cell>
          <cell r="I123">
            <v>14400</v>
          </cell>
          <cell r="J123">
            <v>0</v>
          </cell>
          <cell r="K123">
            <v>0</v>
          </cell>
          <cell r="L123">
            <v>14400</v>
          </cell>
          <cell r="M123">
            <v>0</v>
          </cell>
          <cell r="N123">
            <v>0</v>
          </cell>
        </row>
        <row r="124">
          <cell r="A124" t="str">
            <v>9410</v>
          </cell>
          <cell r="B124" t="str">
            <v>013807940</v>
          </cell>
          <cell r="C124">
            <v>9600</v>
          </cell>
          <cell r="D124">
            <v>12000</v>
          </cell>
          <cell r="E124">
            <v>12000</v>
          </cell>
          <cell r="F124">
            <v>4800</v>
          </cell>
          <cell r="G124">
            <v>0</v>
          </cell>
          <cell r="H124">
            <v>4800</v>
          </cell>
          <cell r="I124">
            <v>12000</v>
          </cell>
          <cell r="J124">
            <v>0</v>
          </cell>
          <cell r="K124">
            <v>0</v>
          </cell>
          <cell r="L124">
            <v>12000</v>
          </cell>
          <cell r="M124">
            <v>0</v>
          </cell>
          <cell r="N124">
            <v>0</v>
          </cell>
        </row>
        <row r="125">
          <cell r="A125" t="str">
            <v>9410</v>
          </cell>
          <cell r="B125" t="str">
            <v>015502661</v>
          </cell>
          <cell r="C125">
            <v>9600</v>
          </cell>
          <cell r="D125">
            <v>9600</v>
          </cell>
          <cell r="E125">
            <v>9600</v>
          </cell>
          <cell r="F125">
            <v>9600</v>
          </cell>
          <cell r="G125">
            <v>0</v>
          </cell>
          <cell r="H125">
            <v>0</v>
          </cell>
          <cell r="I125">
            <v>9600</v>
          </cell>
          <cell r="J125">
            <v>0</v>
          </cell>
          <cell r="K125">
            <v>0</v>
          </cell>
          <cell r="L125">
            <v>9600</v>
          </cell>
          <cell r="M125">
            <v>0</v>
          </cell>
          <cell r="N125">
            <v>0</v>
          </cell>
        </row>
        <row r="126">
          <cell r="A126" t="str">
            <v>9410</v>
          </cell>
          <cell r="B126" t="str">
            <v>015503020</v>
          </cell>
          <cell r="C126">
            <v>9600</v>
          </cell>
          <cell r="D126">
            <v>0</v>
          </cell>
          <cell r="E126">
            <v>4800</v>
          </cell>
          <cell r="F126">
            <v>7200</v>
          </cell>
          <cell r="G126">
            <v>2400</v>
          </cell>
          <cell r="H126">
            <v>0</v>
          </cell>
          <cell r="I126">
            <v>0</v>
          </cell>
          <cell r="J126">
            <v>0</v>
          </cell>
          <cell r="K126">
            <v>0</v>
          </cell>
          <cell r="L126">
            <v>4800</v>
          </cell>
          <cell r="M126">
            <v>0</v>
          </cell>
          <cell r="N126">
            <v>0</v>
          </cell>
        </row>
        <row r="127">
          <cell r="A127" t="str">
            <v>5100</v>
          </cell>
          <cell r="B127" t="str">
            <v>010901750</v>
          </cell>
          <cell r="C127">
            <v>8000</v>
          </cell>
          <cell r="D127">
            <v>8000</v>
          </cell>
          <cell r="E127">
            <v>8000</v>
          </cell>
          <cell r="F127">
            <v>4000</v>
          </cell>
          <cell r="G127">
            <v>0</v>
          </cell>
          <cell r="H127">
            <v>4000</v>
          </cell>
          <cell r="I127">
            <v>4000</v>
          </cell>
          <cell r="J127">
            <v>0</v>
          </cell>
          <cell r="K127">
            <v>4000</v>
          </cell>
          <cell r="L127">
            <v>4000</v>
          </cell>
          <cell r="M127">
            <v>0</v>
          </cell>
          <cell r="N127">
            <v>4000</v>
          </cell>
        </row>
        <row r="128">
          <cell r="A128" t="str">
            <v>5100</v>
          </cell>
          <cell r="B128" t="str">
            <v>011405301</v>
          </cell>
          <cell r="C128">
            <v>8000</v>
          </cell>
          <cell r="D128">
            <v>16000</v>
          </cell>
          <cell r="E128">
            <v>12000</v>
          </cell>
          <cell r="F128">
            <v>4000</v>
          </cell>
          <cell r="G128">
            <v>4000</v>
          </cell>
          <cell r="H128">
            <v>0</v>
          </cell>
          <cell r="I128">
            <v>4000</v>
          </cell>
          <cell r="J128">
            <v>4000</v>
          </cell>
          <cell r="K128">
            <v>8000</v>
          </cell>
          <cell r="L128">
            <v>4000</v>
          </cell>
          <cell r="M128">
            <v>0</v>
          </cell>
          <cell r="N128">
            <v>8000</v>
          </cell>
        </row>
        <row r="129">
          <cell r="A129" t="str">
            <v>5100</v>
          </cell>
          <cell r="B129" t="str">
            <v>014002100</v>
          </cell>
          <cell r="C129">
            <v>8000</v>
          </cell>
          <cell r="D129">
            <v>4000</v>
          </cell>
          <cell r="E129">
            <v>4000</v>
          </cell>
          <cell r="F129">
            <v>4000</v>
          </cell>
          <cell r="G129">
            <v>0</v>
          </cell>
          <cell r="H129">
            <v>4000</v>
          </cell>
          <cell r="I129">
            <v>0</v>
          </cell>
          <cell r="J129">
            <v>0</v>
          </cell>
          <cell r="K129">
            <v>4000</v>
          </cell>
          <cell r="L129">
            <v>0</v>
          </cell>
          <cell r="M129">
            <v>0</v>
          </cell>
          <cell r="N129">
            <v>4000</v>
          </cell>
        </row>
        <row r="130">
          <cell r="A130" t="str">
            <v>5100</v>
          </cell>
          <cell r="B130" t="str">
            <v>014002360</v>
          </cell>
          <cell r="C130">
            <v>8000</v>
          </cell>
          <cell r="D130">
            <v>8000</v>
          </cell>
          <cell r="E130">
            <v>4000</v>
          </cell>
          <cell r="F130">
            <v>0</v>
          </cell>
          <cell r="G130">
            <v>4000</v>
          </cell>
          <cell r="H130">
            <v>4000</v>
          </cell>
          <cell r="I130">
            <v>4000</v>
          </cell>
          <cell r="J130">
            <v>0</v>
          </cell>
          <cell r="K130">
            <v>4000</v>
          </cell>
          <cell r="L130">
            <v>0</v>
          </cell>
          <cell r="M130">
            <v>0</v>
          </cell>
          <cell r="N130">
            <v>4000</v>
          </cell>
        </row>
        <row r="131">
          <cell r="A131" t="str">
            <v>5100</v>
          </cell>
          <cell r="B131" t="str">
            <v>014002370</v>
          </cell>
          <cell r="C131">
            <v>8000</v>
          </cell>
          <cell r="D131">
            <v>4000</v>
          </cell>
          <cell r="E131">
            <v>4000</v>
          </cell>
          <cell r="F131">
            <v>4000</v>
          </cell>
          <cell r="G131">
            <v>4000</v>
          </cell>
          <cell r="H131">
            <v>0</v>
          </cell>
          <cell r="I131">
            <v>0</v>
          </cell>
          <cell r="J131">
            <v>4000</v>
          </cell>
          <cell r="K131">
            <v>0</v>
          </cell>
          <cell r="L131">
            <v>0</v>
          </cell>
          <cell r="M131">
            <v>4000</v>
          </cell>
          <cell r="N131">
            <v>0</v>
          </cell>
        </row>
        <row r="132">
          <cell r="A132" t="str">
            <v>5100</v>
          </cell>
          <cell r="B132" t="str">
            <v>015600141</v>
          </cell>
          <cell r="C132">
            <v>8000</v>
          </cell>
          <cell r="D132">
            <v>6000</v>
          </cell>
          <cell r="E132">
            <v>6000</v>
          </cell>
          <cell r="F132">
            <v>2000</v>
          </cell>
          <cell r="G132">
            <v>4000</v>
          </cell>
          <cell r="H132">
            <v>2000</v>
          </cell>
          <cell r="I132">
            <v>2000</v>
          </cell>
          <cell r="J132">
            <v>2000</v>
          </cell>
          <cell r="K132">
            <v>2000</v>
          </cell>
          <cell r="L132">
            <v>4000</v>
          </cell>
          <cell r="M132">
            <v>0</v>
          </cell>
          <cell r="N132">
            <v>2000</v>
          </cell>
        </row>
        <row r="133">
          <cell r="A133" t="str">
            <v>9410</v>
          </cell>
          <cell r="B133" t="str">
            <v>010700611</v>
          </cell>
          <cell r="C133">
            <v>8000</v>
          </cell>
          <cell r="D133">
            <v>4000</v>
          </cell>
          <cell r="E133">
            <v>4000</v>
          </cell>
          <cell r="F133">
            <v>0</v>
          </cell>
          <cell r="G133">
            <v>0</v>
          </cell>
          <cell r="H133">
            <v>8000</v>
          </cell>
          <cell r="I133">
            <v>0</v>
          </cell>
          <cell r="J133">
            <v>0</v>
          </cell>
          <cell r="K133">
            <v>4000</v>
          </cell>
          <cell r="L133">
            <v>0</v>
          </cell>
          <cell r="M133">
            <v>0</v>
          </cell>
          <cell r="N133">
            <v>4000</v>
          </cell>
        </row>
        <row r="134">
          <cell r="A134" t="str">
            <v>9410</v>
          </cell>
          <cell r="B134" t="str">
            <v>010700621</v>
          </cell>
          <cell r="C134">
            <v>8000</v>
          </cell>
          <cell r="D134">
            <v>4000</v>
          </cell>
          <cell r="E134">
            <v>4000</v>
          </cell>
          <cell r="F134">
            <v>0</v>
          </cell>
          <cell r="G134">
            <v>0</v>
          </cell>
          <cell r="H134">
            <v>8000</v>
          </cell>
          <cell r="I134">
            <v>0</v>
          </cell>
          <cell r="J134">
            <v>0</v>
          </cell>
          <cell r="K134">
            <v>4000</v>
          </cell>
          <cell r="L134">
            <v>0</v>
          </cell>
          <cell r="M134">
            <v>0</v>
          </cell>
          <cell r="N134">
            <v>4000</v>
          </cell>
        </row>
        <row r="135">
          <cell r="A135" t="str">
            <v>9410</v>
          </cell>
          <cell r="B135" t="str">
            <v>015201951</v>
          </cell>
          <cell r="C135">
            <v>8000</v>
          </cell>
          <cell r="D135">
            <v>8000</v>
          </cell>
          <cell r="E135">
            <v>8000</v>
          </cell>
          <cell r="F135">
            <v>4000</v>
          </cell>
          <cell r="G135">
            <v>0</v>
          </cell>
          <cell r="H135">
            <v>4000</v>
          </cell>
          <cell r="I135">
            <v>4000</v>
          </cell>
          <cell r="J135">
            <v>4000</v>
          </cell>
          <cell r="K135">
            <v>0</v>
          </cell>
          <cell r="L135">
            <v>0</v>
          </cell>
          <cell r="M135">
            <v>8000</v>
          </cell>
          <cell r="N135">
            <v>0</v>
          </cell>
        </row>
        <row r="136">
          <cell r="A136" t="str">
            <v>9420</v>
          </cell>
          <cell r="B136" t="str">
            <v>011403582</v>
          </cell>
          <cell r="C136">
            <v>8000</v>
          </cell>
          <cell r="D136">
            <v>6000</v>
          </cell>
          <cell r="E136">
            <v>6000</v>
          </cell>
          <cell r="F136">
            <v>0</v>
          </cell>
          <cell r="G136">
            <v>0</v>
          </cell>
          <cell r="H136">
            <v>8000</v>
          </cell>
          <cell r="I136">
            <v>0</v>
          </cell>
          <cell r="J136">
            <v>6000</v>
          </cell>
          <cell r="K136">
            <v>0</v>
          </cell>
          <cell r="L136">
            <v>0</v>
          </cell>
          <cell r="M136">
            <v>6000</v>
          </cell>
          <cell r="N136">
            <v>0</v>
          </cell>
        </row>
        <row r="137">
          <cell r="A137" t="str">
            <v>9420</v>
          </cell>
          <cell r="B137" t="str">
            <v>014002301</v>
          </cell>
          <cell r="C137">
            <v>8000</v>
          </cell>
          <cell r="D137">
            <v>8000</v>
          </cell>
          <cell r="E137">
            <v>8000</v>
          </cell>
          <cell r="F137">
            <v>0</v>
          </cell>
          <cell r="G137">
            <v>4000</v>
          </cell>
          <cell r="H137">
            <v>4000</v>
          </cell>
          <cell r="I137">
            <v>4000</v>
          </cell>
          <cell r="J137">
            <v>0</v>
          </cell>
          <cell r="K137">
            <v>4000</v>
          </cell>
          <cell r="L137">
            <v>4000</v>
          </cell>
          <cell r="M137">
            <v>0</v>
          </cell>
          <cell r="N137">
            <v>4000</v>
          </cell>
        </row>
        <row r="138">
          <cell r="A138" t="str">
            <v>5100</v>
          </cell>
          <cell r="B138" t="str">
            <v>010901740</v>
          </cell>
          <cell r="C138">
            <v>7200</v>
          </cell>
          <cell r="D138">
            <v>10800</v>
          </cell>
          <cell r="E138">
            <v>3600</v>
          </cell>
          <cell r="F138">
            <v>0</v>
          </cell>
          <cell r="G138">
            <v>3600</v>
          </cell>
          <cell r="H138">
            <v>3600</v>
          </cell>
          <cell r="I138">
            <v>3600</v>
          </cell>
          <cell r="J138">
            <v>3600</v>
          </cell>
          <cell r="K138">
            <v>3600</v>
          </cell>
          <cell r="L138">
            <v>3600</v>
          </cell>
          <cell r="M138">
            <v>0</v>
          </cell>
          <cell r="N138">
            <v>0</v>
          </cell>
        </row>
        <row r="139">
          <cell r="A139" t="str">
            <v>5100</v>
          </cell>
          <cell r="B139" t="str">
            <v>011404921</v>
          </cell>
          <cell r="C139">
            <v>7200</v>
          </cell>
          <cell r="D139">
            <v>2400</v>
          </cell>
          <cell r="E139">
            <v>0</v>
          </cell>
          <cell r="F139">
            <v>2400</v>
          </cell>
          <cell r="G139">
            <v>2400</v>
          </cell>
          <cell r="H139">
            <v>2400</v>
          </cell>
          <cell r="I139">
            <v>0</v>
          </cell>
          <cell r="J139">
            <v>2400</v>
          </cell>
          <cell r="K139">
            <v>0</v>
          </cell>
          <cell r="L139">
            <v>0</v>
          </cell>
          <cell r="M139">
            <v>0</v>
          </cell>
          <cell r="N139">
            <v>0</v>
          </cell>
        </row>
        <row r="140">
          <cell r="A140" t="str">
            <v>5100</v>
          </cell>
          <cell r="B140" t="str">
            <v>012601020</v>
          </cell>
          <cell r="C140">
            <v>7200</v>
          </cell>
          <cell r="D140">
            <v>7200</v>
          </cell>
          <cell r="E140">
            <v>4800</v>
          </cell>
          <cell r="F140">
            <v>2400</v>
          </cell>
          <cell r="G140">
            <v>2400</v>
          </cell>
          <cell r="H140">
            <v>2400</v>
          </cell>
          <cell r="I140">
            <v>2400</v>
          </cell>
          <cell r="J140">
            <v>2400</v>
          </cell>
          <cell r="K140">
            <v>2400</v>
          </cell>
          <cell r="L140">
            <v>2400</v>
          </cell>
          <cell r="M140">
            <v>0</v>
          </cell>
          <cell r="N140">
            <v>2400</v>
          </cell>
        </row>
        <row r="141">
          <cell r="A141" t="str">
            <v>5100</v>
          </cell>
          <cell r="B141" t="str">
            <v>012700592</v>
          </cell>
          <cell r="C141">
            <v>7200</v>
          </cell>
          <cell r="D141">
            <v>10800</v>
          </cell>
          <cell r="E141">
            <v>10800</v>
          </cell>
          <cell r="F141">
            <v>3600</v>
          </cell>
          <cell r="G141">
            <v>0</v>
          </cell>
          <cell r="H141">
            <v>3600</v>
          </cell>
          <cell r="I141">
            <v>7200</v>
          </cell>
          <cell r="J141">
            <v>0</v>
          </cell>
          <cell r="K141">
            <v>3600</v>
          </cell>
          <cell r="L141">
            <v>7200</v>
          </cell>
          <cell r="M141">
            <v>0</v>
          </cell>
          <cell r="N141">
            <v>3600</v>
          </cell>
        </row>
        <row r="142">
          <cell r="A142" t="str">
            <v>5100</v>
          </cell>
          <cell r="B142" t="str">
            <v>012700641</v>
          </cell>
          <cell r="C142">
            <v>7200</v>
          </cell>
          <cell r="D142">
            <v>4800</v>
          </cell>
          <cell r="E142">
            <v>2400</v>
          </cell>
          <cell r="F142">
            <v>2400</v>
          </cell>
          <cell r="G142">
            <v>2400</v>
          </cell>
          <cell r="H142">
            <v>2400</v>
          </cell>
          <cell r="I142">
            <v>0</v>
          </cell>
          <cell r="J142">
            <v>2400</v>
          </cell>
          <cell r="K142">
            <v>2400</v>
          </cell>
          <cell r="L142">
            <v>0</v>
          </cell>
          <cell r="M142">
            <v>0</v>
          </cell>
          <cell r="N142">
            <v>2400</v>
          </cell>
        </row>
        <row r="143">
          <cell r="A143" t="str">
            <v>9410</v>
          </cell>
          <cell r="B143" t="str">
            <v>010602152</v>
          </cell>
          <cell r="C143">
            <v>7200</v>
          </cell>
          <cell r="D143">
            <v>0</v>
          </cell>
          <cell r="E143">
            <v>0</v>
          </cell>
          <cell r="F143">
            <v>7200</v>
          </cell>
          <cell r="G143">
            <v>0</v>
          </cell>
          <cell r="H143">
            <v>0</v>
          </cell>
          <cell r="I143">
            <v>0</v>
          </cell>
          <cell r="J143">
            <v>0</v>
          </cell>
          <cell r="K143">
            <v>0</v>
          </cell>
          <cell r="L143">
            <v>0</v>
          </cell>
          <cell r="M143">
            <v>0</v>
          </cell>
          <cell r="N143">
            <v>0</v>
          </cell>
        </row>
        <row r="144">
          <cell r="A144" t="str">
            <v>9410</v>
          </cell>
          <cell r="B144" t="str">
            <v>010602171</v>
          </cell>
          <cell r="C144">
            <v>7200</v>
          </cell>
          <cell r="D144">
            <v>0</v>
          </cell>
          <cell r="E144">
            <v>0</v>
          </cell>
          <cell r="F144">
            <v>7200</v>
          </cell>
          <cell r="G144">
            <v>0</v>
          </cell>
          <cell r="H144">
            <v>0</v>
          </cell>
          <cell r="I144">
            <v>0</v>
          </cell>
          <cell r="J144">
            <v>0</v>
          </cell>
          <cell r="K144">
            <v>0</v>
          </cell>
          <cell r="L144">
            <v>0</v>
          </cell>
          <cell r="M144">
            <v>0</v>
          </cell>
          <cell r="N144">
            <v>0</v>
          </cell>
        </row>
        <row r="145">
          <cell r="A145" t="str">
            <v>9410</v>
          </cell>
          <cell r="B145" t="str">
            <v>013808760</v>
          </cell>
          <cell r="C145">
            <v>7200</v>
          </cell>
          <cell r="D145">
            <v>2400</v>
          </cell>
          <cell r="E145">
            <v>2400</v>
          </cell>
          <cell r="F145">
            <v>4800</v>
          </cell>
          <cell r="G145">
            <v>2400</v>
          </cell>
          <cell r="H145">
            <v>0</v>
          </cell>
          <cell r="I145">
            <v>2400</v>
          </cell>
          <cell r="J145">
            <v>0</v>
          </cell>
          <cell r="K145">
            <v>0</v>
          </cell>
          <cell r="L145">
            <v>0</v>
          </cell>
          <cell r="M145">
            <v>2400</v>
          </cell>
          <cell r="N145">
            <v>0</v>
          </cell>
        </row>
        <row r="146">
          <cell r="A146" t="str">
            <v>9410</v>
          </cell>
          <cell r="B146" t="str">
            <v>013808820</v>
          </cell>
          <cell r="C146">
            <v>7200</v>
          </cell>
          <cell r="D146">
            <v>9600</v>
          </cell>
          <cell r="E146">
            <v>12000</v>
          </cell>
          <cell r="F146">
            <v>2400</v>
          </cell>
          <cell r="G146">
            <v>4800</v>
          </cell>
          <cell r="H146">
            <v>0</v>
          </cell>
          <cell r="I146">
            <v>4800</v>
          </cell>
          <cell r="J146">
            <v>2400</v>
          </cell>
          <cell r="K146">
            <v>2400</v>
          </cell>
          <cell r="L146">
            <v>4800</v>
          </cell>
          <cell r="M146">
            <v>4800</v>
          </cell>
          <cell r="N146">
            <v>2400</v>
          </cell>
        </row>
        <row r="147">
          <cell r="A147" t="str">
            <v>9410</v>
          </cell>
          <cell r="B147" t="str">
            <v>013808900</v>
          </cell>
          <cell r="C147">
            <v>7200</v>
          </cell>
          <cell r="D147">
            <v>0</v>
          </cell>
          <cell r="E147">
            <v>0</v>
          </cell>
          <cell r="F147">
            <v>7200</v>
          </cell>
          <cell r="G147">
            <v>0</v>
          </cell>
          <cell r="H147">
            <v>0</v>
          </cell>
          <cell r="I147">
            <v>0</v>
          </cell>
          <cell r="J147">
            <v>0</v>
          </cell>
          <cell r="K147">
            <v>0</v>
          </cell>
          <cell r="L147">
            <v>0</v>
          </cell>
          <cell r="M147">
            <v>0</v>
          </cell>
          <cell r="N147">
            <v>0</v>
          </cell>
        </row>
        <row r="148">
          <cell r="A148" t="str">
            <v>9410</v>
          </cell>
          <cell r="B148" t="str">
            <v>015201401</v>
          </cell>
          <cell r="C148">
            <v>7200</v>
          </cell>
          <cell r="D148">
            <v>4800</v>
          </cell>
          <cell r="E148">
            <v>0</v>
          </cell>
          <cell r="F148">
            <v>2400</v>
          </cell>
          <cell r="G148">
            <v>0</v>
          </cell>
          <cell r="H148">
            <v>4800</v>
          </cell>
          <cell r="I148">
            <v>0</v>
          </cell>
          <cell r="J148">
            <v>0</v>
          </cell>
          <cell r="K148">
            <v>4800</v>
          </cell>
          <cell r="L148">
            <v>0</v>
          </cell>
          <cell r="M148">
            <v>0</v>
          </cell>
          <cell r="N148">
            <v>0</v>
          </cell>
        </row>
        <row r="149">
          <cell r="A149" t="str">
            <v>9410</v>
          </cell>
          <cell r="B149" t="str">
            <v>015502670</v>
          </cell>
          <cell r="C149">
            <v>7200</v>
          </cell>
          <cell r="D149">
            <v>9600</v>
          </cell>
          <cell r="E149">
            <v>9600</v>
          </cell>
          <cell r="F149">
            <v>7200</v>
          </cell>
          <cell r="G149">
            <v>0</v>
          </cell>
          <cell r="H149">
            <v>0</v>
          </cell>
          <cell r="I149">
            <v>9600</v>
          </cell>
          <cell r="J149">
            <v>0</v>
          </cell>
          <cell r="K149">
            <v>0</v>
          </cell>
          <cell r="L149">
            <v>9600</v>
          </cell>
          <cell r="M149">
            <v>0</v>
          </cell>
          <cell r="N149">
            <v>0</v>
          </cell>
        </row>
        <row r="150">
          <cell r="A150" t="str">
            <v>9410</v>
          </cell>
          <cell r="B150" t="str">
            <v>015600220</v>
          </cell>
          <cell r="C150">
            <v>7200</v>
          </cell>
          <cell r="D150">
            <v>0</v>
          </cell>
          <cell r="E150">
            <v>0</v>
          </cell>
          <cell r="F150">
            <v>7200</v>
          </cell>
          <cell r="G150">
            <v>0</v>
          </cell>
          <cell r="H150">
            <v>0</v>
          </cell>
          <cell r="I150">
            <v>0</v>
          </cell>
          <cell r="J150">
            <v>0</v>
          </cell>
          <cell r="K150">
            <v>0</v>
          </cell>
          <cell r="L150">
            <v>0</v>
          </cell>
          <cell r="M150">
            <v>0</v>
          </cell>
          <cell r="N150">
            <v>0</v>
          </cell>
        </row>
        <row r="151">
          <cell r="A151" t="str">
            <v>5100</v>
          </cell>
          <cell r="B151" t="str">
            <v>012200953</v>
          </cell>
          <cell r="C151">
            <v>6000</v>
          </cell>
          <cell r="D151">
            <v>6000</v>
          </cell>
          <cell r="E151">
            <v>6000</v>
          </cell>
          <cell r="F151">
            <v>0</v>
          </cell>
          <cell r="G151">
            <v>6000</v>
          </cell>
          <cell r="H151">
            <v>0</v>
          </cell>
          <cell r="I151">
            <v>6000</v>
          </cell>
          <cell r="J151">
            <v>0</v>
          </cell>
          <cell r="K151">
            <v>0</v>
          </cell>
          <cell r="L151">
            <v>6000</v>
          </cell>
          <cell r="M151">
            <v>0</v>
          </cell>
          <cell r="N151">
            <v>0</v>
          </cell>
        </row>
        <row r="152">
          <cell r="A152" t="str">
            <v>5100</v>
          </cell>
          <cell r="B152" t="str">
            <v>012201362</v>
          </cell>
          <cell r="C152">
            <v>6000</v>
          </cell>
          <cell r="D152">
            <v>6000</v>
          </cell>
          <cell r="E152">
            <v>0</v>
          </cell>
          <cell r="F152">
            <v>0</v>
          </cell>
          <cell r="G152">
            <v>0</v>
          </cell>
          <cell r="H152">
            <v>6000</v>
          </cell>
          <cell r="I152">
            <v>0</v>
          </cell>
          <cell r="J152">
            <v>6000</v>
          </cell>
          <cell r="K152">
            <v>0</v>
          </cell>
          <cell r="L152">
            <v>0</v>
          </cell>
          <cell r="M152">
            <v>0</v>
          </cell>
          <cell r="N152">
            <v>0</v>
          </cell>
        </row>
        <row r="153">
          <cell r="A153" t="str">
            <v>5100</v>
          </cell>
          <cell r="B153" t="str">
            <v>014002040</v>
          </cell>
          <cell r="C153">
            <v>6000</v>
          </cell>
          <cell r="D153">
            <v>4000</v>
          </cell>
          <cell r="E153">
            <v>0</v>
          </cell>
          <cell r="F153">
            <v>0</v>
          </cell>
          <cell r="G153">
            <v>2000</v>
          </cell>
          <cell r="H153">
            <v>4000</v>
          </cell>
          <cell r="I153">
            <v>0</v>
          </cell>
          <cell r="J153">
            <v>4000</v>
          </cell>
          <cell r="K153">
            <v>0</v>
          </cell>
          <cell r="L153">
            <v>0</v>
          </cell>
          <cell r="M153">
            <v>0</v>
          </cell>
          <cell r="N153">
            <v>0</v>
          </cell>
        </row>
        <row r="154">
          <cell r="A154" t="str">
            <v>9410</v>
          </cell>
          <cell r="B154" t="str">
            <v>010700720</v>
          </cell>
          <cell r="C154">
            <v>6000</v>
          </cell>
          <cell r="D154">
            <v>6000</v>
          </cell>
          <cell r="E154">
            <v>0</v>
          </cell>
          <cell r="F154">
            <v>0</v>
          </cell>
          <cell r="G154">
            <v>6000</v>
          </cell>
          <cell r="H154">
            <v>0</v>
          </cell>
          <cell r="I154">
            <v>6000</v>
          </cell>
          <cell r="J154">
            <v>0</v>
          </cell>
          <cell r="K154">
            <v>0</v>
          </cell>
          <cell r="L154">
            <v>0</v>
          </cell>
          <cell r="M154">
            <v>0</v>
          </cell>
          <cell r="N154">
            <v>0</v>
          </cell>
        </row>
        <row r="155">
          <cell r="A155" t="str">
            <v>9410</v>
          </cell>
          <cell r="B155" t="str">
            <v>010700730</v>
          </cell>
          <cell r="C155">
            <v>6000</v>
          </cell>
          <cell r="D155">
            <v>6000</v>
          </cell>
          <cell r="E155">
            <v>0</v>
          </cell>
          <cell r="F155">
            <v>0</v>
          </cell>
          <cell r="G155">
            <v>6000</v>
          </cell>
          <cell r="H155">
            <v>0</v>
          </cell>
          <cell r="I155">
            <v>6000</v>
          </cell>
          <cell r="J155">
            <v>0</v>
          </cell>
          <cell r="K155">
            <v>0</v>
          </cell>
          <cell r="L155">
            <v>0</v>
          </cell>
          <cell r="M155">
            <v>0</v>
          </cell>
          <cell r="N155">
            <v>0</v>
          </cell>
        </row>
        <row r="156">
          <cell r="A156" t="str">
            <v>9420</v>
          </cell>
          <cell r="B156" t="str">
            <v>011405311</v>
          </cell>
          <cell r="C156">
            <v>6000</v>
          </cell>
          <cell r="D156">
            <v>12000</v>
          </cell>
          <cell r="E156">
            <v>12000</v>
          </cell>
          <cell r="F156">
            <v>0</v>
          </cell>
          <cell r="G156">
            <v>0</v>
          </cell>
          <cell r="H156">
            <v>6000</v>
          </cell>
          <cell r="I156">
            <v>6000</v>
          </cell>
          <cell r="J156">
            <v>0</v>
          </cell>
          <cell r="K156">
            <v>6000</v>
          </cell>
          <cell r="L156">
            <v>6000</v>
          </cell>
          <cell r="M156">
            <v>0</v>
          </cell>
          <cell r="N156">
            <v>6000</v>
          </cell>
        </row>
        <row r="157">
          <cell r="A157" t="str">
            <v>5100</v>
          </cell>
          <cell r="B157" t="str">
            <v>011404133</v>
          </cell>
          <cell r="C157">
            <v>4800</v>
          </cell>
          <cell r="D157">
            <v>4800</v>
          </cell>
          <cell r="E157">
            <v>0</v>
          </cell>
          <cell r="F157">
            <v>2400</v>
          </cell>
          <cell r="G157">
            <v>2400</v>
          </cell>
          <cell r="H157">
            <v>0</v>
          </cell>
          <cell r="I157">
            <v>2400</v>
          </cell>
          <cell r="J157">
            <v>0</v>
          </cell>
          <cell r="K157">
            <v>2400</v>
          </cell>
          <cell r="L157">
            <v>0</v>
          </cell>
          <cell r="M157">
            <v>0</v>
          </cell>
          <cell r="N157">
            <v>0</v>
          </cell>
        </row>
        <row r="158">
          <cell r="A158" t="str">
            <v>5100</v>
          </cell>
          <cell r="B158" t="str">
            <v>011405202</v>
          </cell>
          <cell r="C158">
            <v>4800</v>
          </cell>
          <cell r="D158">
            <v>4800</v>
          </cell>
          <cell r="E158">
            <v>2400</v>
          </cell>
          <cell r="F158">
            <v>2400</v>
          </cell>
          <cell r="G158">
            <v>2400</v>
          </cell>
          <cell r="H158">
            <v>0</v>
          </cell>
          <cell r="I158">
            <v>2400</v>
          </cell>
          <cell r="J158">
            <v>2400</v>
          </cell>
          <cell r="K158">
            <v>0</v>
          </cell>
          <cell r="L158">
            <v>0</v>
          </cell>
          <cell r="M158">
            <v>2400</v>
          </cell>
          <cell r="N158">
            <v>0</v>
          </cell>
        </row>
        <row r="159">
          <cell r="A159" t="str">
            <v>5100</v>
          </cell>
          <cell r="B159" t="str">
            <v>012201641</v>
          </cell>
          <cell r="C159">
            <v>4800</v>
          </cell>
          <cell r="D159">
            <v>7200</v>
          </cell>
          <cell r="E159">
            <v>2400</v>
          </cell>
          <cell r="F159">
            <v>0</v>
          </cell>
          <cell r="G159">
            <v>2400</v>
          </cell>
          <cell r="H159">
            <v>2400</v>
          </cell>
          <cell r="I159">
            <v>2400</v>
          </cell>
          <cell r="J159">
            <v>2400</v>
          </cell>
          <cell r="K159">
            <v>2400</v>
          </cell>
          <cell r="L159">
            <v>0</v>
          </cell>
          <cell r="M159">
            <v>2400</v>
          </cell>
          <cell r="N159">
            <v>0</v>
          </cell>
        </row>
        <row r="160">
          <cell r="A160" t="str">
            <v>5100</v>
          </cell>
          <cell r="B160" t="str">
            <v>012201651</v>
          </cell>
          <cell r="C160">
            <v>4800</v>
          </cell>
          <cell r="D160">
            <v>7200</v>
          </cell>
          <cell r="E160">
            <v>4800</v>
          </cell>
          <cell r="F160">
            <v>2400</v>
          </cell>
          <cell r="G160">
            <v>2400</v>
          </cell>
          <cell r="H160">
            <v>0</v>
          </cell>
          <cell r="I160">
            <v>4800</v>
          </cell>
          <cell r="J160">
            <v>0</v>
          </cell>
          <cell r="K160">
            <v>2400</v>
          </cell>
          <cell r="L160">
            <v>2400</v>
          </cell>
          <cell r="M160">
            <v>0</v>
          </cell>
          <cell r="N160">
            <v>2400</v>
          </cell>
        </row>
        <row r="161">
          <cell r="A161" t="str">
            <v>5100</v>
          </cell>
          <cell r="B161" t="str">
            <v>012700533</v>
          </cell>
          <cell r="C161">
            <v>4800</v>
          </cell>
          <cell r="D161">
            <v>4800</v>
          </cell>
          <cell r="E161">
            <v>4800</v>
          </cell>
          <cell r="F161">
            <v>0</v>
          </cell>
          <cell r="G161">
            <v>2400</v>
          </cell>
          <cell r="H161">
            <v>2400</v>
          </cell>
          <cell r="I161">
            <v>2400</v>
          </cell>
          <cell r="J161">
            <v>0</v>
          </cell>
          <cell r="K161">
            <v>2400</v>
          </cell>
          <cell r="L161">
            <v>2400</v>
          </cell>
          <cell r="M161">
            <v>0</v>
          </cell>
          <cell r="N161">
            <v>2400</v>
          </cell>
        </row>
        <row r="162">
          <cell r="A162" t="str">
            <v>5100</v>
          </cell>
          <cell r="B162" t="str">
            <v>012700650</v>
          </cell>
          <cell r="C162">
            <v>4800</v>
          </cell>
          <cell r="D162">
            <v>2400</v>
          </cell>
          <cell r="E162">
            <v>0</v>
          </cell>
          <cell r="F162">
            <v>2400</v>
          </cell>
          <cell r="G162">
            <v>0</v>
          </cell>
          <cell r="H162">
            <v>2400</v>
          </cell>
          <cell r="I162">
            <v>2400</v>
          </cell>
          <cell r="J162">
            <v>0</v>
          </cell>
          <cell r="K162">
            <v>0</v>
          </cell>
          <cell r="L162">
            <v>0</v>
          </cell>
          <cell r="M162">
            <v>0</v>
          </cell>
          <cell r="N162">
            <v>0</v>
          </cell>
        </row>
        <row r="163">
          <cell r="A163" t="str">
            <v>5100</v>
          </cell>
          <cell r="B163" t="str">
            <v>014002410</v>
          </cell>
          <cell r="C163">
            <v>4800</v>
          </cell>
          <cell r="D163">
            <v>7200</v>
          </cell>
          <cell r="E163">
            <v>4800</v>
          </cell>
          <cell r="F163">
            <v>0</v>
          </cell>
          <cell r="G163">
            <v>2400</v>
          </cell>
          <cell r="H163">
            <v>2400</v>
          </cell>
          <cell r="I163">
            <v>2400</v>
          </cell>
          <cell r="J163">
            <v>2400</v>
          </cell>
          <cell r="K163">
            <v>2400</v>
          </cell>
          <cell r="L163">
            <v>2400</v>
          </cell>
          <cell r="M163">
            <v>2400</v>
          </cell>
          <cell r="N163">
            <v>0</v>
          </cell>
        </row>
        <row r="164">
          <cell r="A164" t="str">
            <v>5100</v>
          </cell>
          <cell r="B164" t="str">
            <v>014002420</v>
          </cell>
          <cell r="C164">
            <v>4800</v>
          </cell>
          <cell r="D164">
            <v>7200</v>
          </cell>
          <cell r="E164">
            <v>2400</v>
          </cell>
          <cell r="F164">
            <v>0</v>
          </cell>
          <cell r="G164">
            <v>2400</v>
          </cell>
          <cell r="H164">
            <v>2400</v>
          </cell>
          <cell r="I164">
            <v>2400</v>
          </cell>
          <cell r="J164">
            <v>2400</v>
          </cell>
          <cell r="K164">
            <v>2400</v>
          </cell>
          <cell r="L164">
            <v>0</v>
          </cell>
          <cell r="M164">
            <v>2400</v>
          </cell>
          <cell r="N164">
            <v>0</v>
          </cell>
        </row>
        <row r="165">
          <cell r="A165" t="str">
            <v>9410</v>
          </cell>
          <cell r="B165" t="str">
            <v>010602101</v>
          </cell>
          <cell r="C165">
            <v>4800</v>
          </cell>
          <cell r="D165">
            <v>4800</v>
          </cell>
          <cell r="E165">
            <v>0</v>
          </cell>
          <cell r="F165">
            <v>4800</v>
          </cell>
          <cell r="G165">
            <v>0</v>
          </cell>
          <cell r="H165">
            <v>0</v>
          </cell>
          <cell r="I165">
            <v>4800</v>
          </cell>
          <cell r="J165">
            <v>0</v>
          </cell>
          <cell r="K165">
            <v>0</v>
          </cell>
          <cell r="L165">
            <v>0</v>
          </cell>
          <cell r="M165">
            <v>0</v>
          </cell>
          <cell r="N165">
            <v>0</v>
          </cell>
        </row>
        <row r="166">
          <cell r="A166" t="str">
            <v>9410</v>
          </cell>
          <cell r="B166" t="str">
            <v>010602111</v>
          </cell>
          <cell r="C166">
            <v>4800</v>
          </cell>
          <cell r="D166">
            <v>4800</v>
          </cell>
          <cell r="E166">
            <v>0</v>
          </cell>
          <cell r="F166">
            <v>4800</v>
          </cell>
          <cell r="G166">
            <v>0</v>
          </cell>
          <cell r="H166">
            <v>0</v>
          </cell>
          <cell r="I166">
            <v>4800</v>
          </cell>
          <cell r="J166">
            <v>0</v>
          </cell>
          <cell r="K166">
            <v>0</v>
          </cell>
          <cell r="L166">
            <v>0</v>
          </cell>
          <cell r="M166">
            <v>0</v>
          </cell>
          <cell r="N166">
            <v>0</v>
          </cell>
        </row>
        <row r="167">
          <cell r="A167" t="str">
            <v>9410</v>
          </cell>
          <cell r="B167" t="str">
            <v>010700740</v>
          </cell>
          <cell r="C167">
            <v>4800</v>
          </cell>
          <cell r="D167">
            <v>0</v>
          </cell>
          <cell r="E167">
            <v>0</v>
          </cell>
          <cell r="F167">
            <v>4800</v>
          </cell>
          <cell r="G167">
            <v>0</v>
          </cell>
          <cell r="H167">
            <v>0</v>
          </cell>
          <cell r="I167">
            <v>0</v>
          </cell>
          <cell r="J167">
            <v>0</v>
          </cell>
          <cell r="K167">
            <v>0</v>
          </cell>
          <cell r="L167">
            <v>0</v>
          </cell>
          <cell r="M167">
            <v>0</v>
          </cell>
          <cell r="N167">
            <v>0</v>
          </cell>
        </row>
        <row r="168">
          <cell r="A168" t="str">
            <v>9410</v>
          </cell>
          <cell r="B168" t="str">
            <v>011404441</v>
          </cell>
          <cell r="C168">
            <v>4800</v>
          </cell>
          <cell r="D168">
            <v>4800</v>
          </cell>
          <cell r="E168">
            <v>2400</v>
          </cell>
          <cell r="F168">
            <v>4800</v>
          </cell>
          <cell r="G168">
            <v>0</v>
          </cell>
          <cell r="H168">
            <v>0</v>
          </cell>
          <cell r="I168">
            <v>4800</v>
          </cell>
          <cell r="J168">
            <v>0</v>
          </cell>
          <cell r="K168">
            <v>0</v>
          </cell>
          <cell r="L168">
            <v>2400</v>
          </cell>
          <cell r="M168">
            <v>0</v>
          </cell>
          <cell r="N168">
            <v>0</v>
          </cell>
        </row>
        <row r="169">
          <cell r="A169" t="str">
            <v>9410</v>
          </cell>
          <cell r="B169" t="str">
            <v>011404463</v>
          </cell>
          <cell r="C169">
            <v>4800</v>
          </cell>
          <cell r="D169">
            <v>4800</v>
          </cell>
          <cell r="E169">
            <v>4800</v>
          </cell>
          <cell r="F169">
            <v>4800</v>
          </cell>
          <cell r="G169">
            <v>0</v>
          </cell>
          <cell r="H169">
            <v>0</v>
          </cell>
          <cell r="I169">
            <v>4800</v>
          </cell>
          <cell r="J169">
            <v>0</v>
          </cell>
          <cell r="K169">
            <v>0</v>
          </cell>
          <cell r="L169">
            <v>4800</v>
          </cell>
          <cell r="M169">
            <v>0</v>
          </cell>
          <cell r="N169">
            <v>0</v>
          </cell>
        </row>
        <row r="170">
          <cell r="A170" t="str">
            <v>9410</v>
          </cell>
          <cell r="B170" t="str">
            <v>011404582</v>
          </cell>
          <cell r="C170">
            <v>4800</v>
          </cell>
          <cell r="D170">
            <v>7200</v>
          </cell>
          <cell r="E170">
            <v>7200</v>
          </cell>
          <cell r="F170">
            <v>4800</v>
          </cell>
          <cell r="G170">
            <v>0</v>
          </cell>
          <cell r="H170">
            <v>0</v>
          </cell>
          <cell r="I170">
            <v>7200</v>
          </cell>
          <cell r="J170">
            <v>0</v>
          </cell>
          <cell r="K170">
            <v>0</v>
          </cell>
          <cell r="L170">
            <v>7200</v>
          </cell>
          <cell r="M170">
            <v>0</v>
          </cell>
          <cell r="N170">
            <v>0</v>
          </cell>
        </row>
        <row r="171">
          <cell r="A171" t="str">
            <v>9410</v>
          </cell>
          <cell r="B171" t="str">
            <v>013806252</v>
          </cell>
          <cell r="C171">
            <v>4800</v>
          </cell>
          <cell r="D171">
            <v>0</v>
          </cell>
          <cell r="E171">
            <v>0</v>
          </cell>
          <cell r="F171">
            <v>4800</v>
          </cell>
          <cell r="G171">
            <v>0</v>
          </cell>
          <cell r="H171">
            <v>0</v>
          </cell>
          <cell r="I171">
            <v>0</v>
          </cell>
          <cell r="J171">
            <v>0</v>
          </cell>
          <cell r="K171">
            <v>0</v>
          </cell>
          <cell r="L171">
            <v>0</v>
          </cell>
          <cell r="M171">
            <v>0</v>
          </cell>
          <cell r="N171">
            <v>0</v>
          </cell>
        </row>
        <row r="172">
          <cell r="A172" t="str">
            <v>9410</v>
          </cell>
          <cell r="B172" t="str">
            <v>013807140</v>
          </cell>
          <cell r="C172">
            <v>4800</v>
          </cell>
          <cell r="D172">
            <v>2400</v>
          </cell>
          <cell r="E172">
            <v>0</v>
          </cell>
          <cell r="F172">
            <v>4800</v>
          </cell>
          <cell r="G172">
            <v>0</v>
          </cell>
          <cell r="H172">
            <v>0</v>
          </cell>
          <cell r="I172">
            <v>2400</v>
          </cell>
          <cell r="J172">
            <v>0</v>
          </cell>
          <cell r="K172">
            <v>0</v>
          </cell>
          <cell r="L172">
            <v>0</v>
          </cell>
          <cell r="M172">
            <v>0</v>
          </cell>
          <cell r="N172">
            <v>0</v>
          </cell>
        </row>
        <row r="173">
          <cell r="A173" t="str">
            <v>9410</v>
          </cell>
          <cell r="B173" t="str">
            <v>013807222</v>
          </cell>
          <cell r="C173">
            <v>4800</v>
          </cell>
          <cell r="D173">
            <v>2400</v>
          </cell>
          <cell r="E173">
            <v>0</v>
          </cell>
          <cell r="F173">
            <v>4800</v>
          </cell>
          <cell r="G173">
            <v>0</v>
          </cell>
          <cell r="H173">
            <v>0</v>
          </cell>
          <cell r="I173">
            <v>0</v>
          </cell>
          <cell r="J173">
            <v>0</v>
          </cell>
          <cell r="K173">
            <v>2400</v>
          </cell>
          <cell r="L173">
            <v>0</v>
          </cell>
          <cell r="M173">
            <v>0</v>
          </cell>
          <cell r="N173">
            <v>0</v>
          </cell>
        </row>
        <row r="174">
          <cell r="A174" t="str">
            <v>9410</v>
          </cell>
          <cell r="B174" t="str">
            <v>013807940</v>
          </cell>
          <cell r="C174">
            <v>4800</v>
          </cell>
          <cell r="D174">
            <v>0</v>
          </cell>
          <cell r="E174">
            <v>0</v>
          </cell>
          <cell r="F174">
            <v>4800</v>
          </cell>
          <cell r="G174">
            <v>0</v>
          </cell>
          <cell r="H174">
            <v>0</v>
          </cell>
          <cell r="I174">
            <v>0</v>
          </cell>
          <cell r="J174">
            <v>0</v>
          </cell>
          <cell r="K174">
            <v>0</v>
          </cell>
          <cell r="L174">
            <v>0</v>
          </cell>
          <cell r="M174">
            <v>0</v>
          </cell>
          <cell r="N174">
            <v>0</v>
          </cell>
        </row>
        <row r="175">
          <cell r="A175" t="str">
            <v>9410</v>
          </cell>
          <cell r="B175" t="str">
            <v>013808210</v>
          </cell>
          <cell r="C175">
            <v>4800</v>
          </cell>
          <cell r="D175">
            <v>0</v>
          </cell>
          <cell r="E175">
            <v>0</v>
          </cell>
          <cell r="F175">
            <v>4800</v>
          </cell>
          <cell r="G175">
            <v>0</v>
          </cell>
          <cell r="H175">
            <v>0</v>
          </cell>
          <cell r="I175">
            <v>0</v>
          </cell>
          <cell r="J175">
            <v>0</v>
          </cell>
          <cell r="K175">
            <v>0</v>
          </cell>
          <cell r="L175">
            <v>0</v>
          </cell>
          <cell r="M175">
            <v>0</v>
          </cell>
          <cell r="N175">
            <v>0</v>
          </cell>
        </row>
        <row r="176">
          <cell r="A176" t="str">
            <v>9410</v>
          </cell>
          <cell r="B176" t="str">
            <v>013809150</v>
          </cell>
          <cell r="C176">
            <v>4800</v>
          </cell>
          <cell r="D176">
            <v>7200</v>
          </cell>
          <cell r="E176">
            <v>7200</v>
          </cell>
          <cell r="F176">
            <v>2400</v>
          </cell>
          <cell r="G176">
            <v>2400</v>
          </cell>
          <cell r="H176">
            <v>0</v>
          </cell>
          <cell r="I176">
            <v>2400</v>
          </cell>
          <cell r="J176">
            <v>2400</v>
          </cell>
          <cell r="K176">
            <v>2400</v>
          </cell>
          <cell r="L176">
            <v>2400</v>
          </cell>
          <cell r="M176">
            <v>2400</v>
          </cell>
          <cell r="N176">
            <v>2400</v>
          </cell>
        </row>
        <row r="177">
          <cell r="A177" t="str">
            <v>9410</v>
          </cell>
          <cell r="B177" t="str">
            <v>013809160</v>
          </cell>
          <cell r="C177">
            <v>4800</v>
          </cell>
          <cell r="D177">
            <v>7200</v>
          </cell>
          <cell r="E177">
            <v>7200</v>
          </cell>
          <cell r="F177">
            <v>4800</v>
          </cell>
          <cell r="G177">
            <v>0</v>
          </cell>
          <cell r="H177">
            <v>0</v>
          </cell>
          <cell r="I177">
            <v>2400</v>
          </cell>
          <cell r="J177">
            <v>2400</v>
          </cell>
          <cell r="K177">
            <v>2400</v>
          </cell>
          <cell r="L177">
            <v>2400</v>
          </cell>
          <cell r="M177">
            <v>2400</v>
          </cell>
          <cell r="N177">
            <v>2400</v>
          </cell>
        </row>
        <row r="178">
          <cell r="A178" t="str">
            <v>9410</v>
          </cell>
          <cell r="B178" t="str">
            <v>013809220</v>
          </cell>
          <cell r="C178">
            <v>4800</v>
          </cell>
          <cell r="D178">
            <v>0</v>
          </cell>
          <cell r="E178">
            <v>0</v>
          </cell>
          <cell r="F178">
            <v>4800</v>
          </cell>
          <cell r="G178">
            <v>0</v>
          </cell>
          <cell r="H178">
            <v>0</v>
          </cell>
          <cell r="I178">
            <v>0</v>
          </cell>
          <cell r="J178">
            <v>0</v>
          </cell>
          <cell r="K178">
            <v>0</v>
          </cell>
          <cell r="L178">
            <v>0</v>
          </cell>
          <cell r="M178">
            <v>0</v>
          </cell>
          <cell r="N178">
            <v>0</v>
          </cell>
        </row>
        <row r="179">
          <cell r="A179" t="str">
            <v>9410</v>
          </cell>
          <cell r="B179" t="str">
            <v>014701551</v>
          </cell>
          <cell r="C179">
            <v>4800</v>
          </cell>
          <cell r="D179">
            <v>0</v>
          </cell>
          <cell r="E179">
            <v>0</v>
          </cell>
          <cell r="F179">
            <v>4800</v>
          </cell>
          <cell r="G179">
            <v>0</v>
          </cell>
          <cell r="H179">
            <v>0</v>
          </cell>
          <cell r="I179">
            <v>0</v>
          </cell>
          <cell r="J179">
            <v>0</v>
          </cell>
          <cell r="K179">
            <v>0</v>
          </cell>
          <cell r="L179">
            <v>0</v>
          </cell>
          <cell r="M179">
            <v>0</v>
          </cell>
          <cell r="N179">
            <v>0</v>
          </cell>
        </row>
        <row r="180">
          <cell r="A180" t="str">
            <v>9410</v>
          </cell>
          <cell r="B180" t="str">
            <v>014702461</v>
          </cell>
          <cell r="C180">
            <v>4800</v>
          </cell>
          <cell r="D180">
            <v>4800</v>
          </cell>
          <cell r="E180">
            <v>0</v>
          </cell>
          <cell r="F180">
            <v>4800</v>
          </cell>
          <cell r="G180">
            <v>0</v>
          </cell>
          <cell r="H180">
            <v>0</v>
          </cell>
          <cell r="I180">
            <v>0</v>
          </cell>
          <cell r="J180">
            <v>0</v>
          </cell>
          <cell r="K180">
            <v>4800</v>
          </cell>
          <cell r="L180">
            <v>0</v>
          </cell>
          <cell r="M180">
            <v>0</v>
          </cell>
          <cell r="N180">
            <v>0</v>
          </cell>
        </row>
        <row r="181">
          <cell r="A181" t="str">
            <v>9410</v>
          </cell>
          <cell r="B181" t="str">
            <v>014702471</v>
          </cell>
          <cell r="C181">
            <v>4800</v>
          </cell>
          <cell r="D181">
            <v>0</v>
          </cell>
          <cell r="E181">
            <v>0</v>
          </cell>
          <cell r="F181">
            <v>4800</v>
          </cell>
          <cell r="G181">
            <v>0</v>
          </cell>
          <cell r="H181">
            <v>0</v>
          </cell>
          <cell r="I181">
            <v>0</v>
          </cell>
          <cell r="J181">
            <v>0</v>
          </cell>
          <cell r="K181">
            <v>0</v>
          </cell>
          <cell r="L181">
            <v>0</v>
          </cell>
          <cell r="M181">
            <v>0</v>
          </cell>
          <cell r="N181">
            <v>0</v>
          </cell>
        </row>
        <row r="182">
          <cell r="A182" t="str">
            <v>9410</v>
          </cell>
          <cell r="B182" t="str">
            <v>015201411</v>
          </cell>
          <cell r="C182">
            <v>4800</v>
          </cell>
          <cell r="D182">
            <v>4800</v>
          </cell>
          <cell r="E182">
            <v>4800</v>
          </cell>
          <cell r="F182">
            <v>4800</v>
          </cell>
          <cell r="G182">
            <v>0</v>
          </cell>
          <cell r="H182">
            <v>0</v>
          </cell>
          <cell r="I182">
            <v>4800</v>
          </cell>
          <cell r="J182">
            <v>0</v>
          </cell>
          <cell r="K182">
            <v>0</v>
          </cell>
          <cell r="L182">
            <v>4800</v>
          </cell>
          <cell r="M182">
            <v>0</v>
          </cell>
          <cell r="N182">
            <v>0</v>
          </cell>
        </row>
        <row r="183">
          <cell r="A183" t="str">
            <v>9410</v>
          </cell>
          <cell r="B183" t="str">
            <v>015202560</v>
          </cell>
          <cell r="C183">
            <v>4800</v>
          </cell>
          <cell r="D183">
            <v>2400</v>
          </cell>
          <cell r="E183">
            <v>2400</v>
          </cell>
          <cell r="F183">
            <v>4800</v>
          </cell>
          <cell r="G183">
            <v>0</v>
          </cell>
          <cell r="H183">
            <v>0</v>
          </cell>
          <cell r="I183">
            <v>2400</v>
          </cell>
          <cell r="J183">
            <v>0</v>
          </cell>
          <cell r="K183">
            <v>0</v>
          </cell>
          <cell r="L183">
            <v>0</v>
          </cell>
          <cell r="M183">
            <v>2400</v>
          </cell>
          <cell r="N183">
            <v>0</v>
          </cell>
        </row>
        <row r="184">
          <cell r="A184" t="str">
            <v>9410</v>
          </cell>
          <cell r="B184" t="str">
            <v>015500522</v>
          </cell>
          <cell r="C184">
            <v>4800</v>
          </cell>
          <cell r="D184">
            <v>2400</v>
          </cell>
          <cell r="E184">
            <v>0</v>
          </cell>
          <cell r="F184">
            <v>4800</v>
          </cell>
          <cell r="G184">
            <v>0</v>
          </cell>
          <cell r="H184">
            <v>0</v>
          </cell>
          <cell r="I184">
            <v>2400</v>
          </cell>
          <cell r="J184">
            <v>0</v>
          </cell>
          <cell r="K184">
            <v>0</v>
          </cell>
          <cell r="L184">
            <v>0</v>
          </cell>
          <cell r="M184">
            <v>0</v>
          </cell>
          <cell r="N184">
            <v>0</v>
          </cell>
        </row>
        <row r="185">
          <cell r="A185" t="str">
            <v>9410</v>
          </cell>
          <cell r="B185" t="str">
            <v>015501151</v>
          </cell>
          <cell r="C185">
            <v>4800</v>
          </cell>
          <cell r="D185">
            <v>4800</v>
          </cell>
          <cell r="E185">
            <v>4800</v>
          </cell>
          <cell r="F185">
            <v>2400</v>
          </cell>
          <cell r="G185">
            <v>2400</v>
          </cell>
          <cell r="H185">
            <v>0</v>
          </cell>
          <cell r="I185">
            <v>0</v>
          </cell>
          <cell r="J185">
            <v>4800</v>
          </cell>
          <cell r="K185">
            <v>0</v>
          </cell>
          <cell r="L185">
            <v>0</v>
          </cell>
          <cell r="M185">
            <v>4800</v>
          </cell>
          <cell r="N185">
            <v>0</v>
          </cell>
        </row>
        <row r="186">
          <cell r="A186" t="str">
            <v>9410</v>
          </cell>
          <cell r="B186" t="str">
            <v>015502870</v>
          </cell>
          <cell r="C186">
            <v>4800</v>
          </cell>
          <cell r="D186">
            <v>4800</v>
          </cell>
          <cell r="E186">
            <v>2400</v>
          </cell>
          <cell r="F186">
            <v>4800</v>
          </cell>
          <cell r="G186">
            <v>0</v>
          </cell>
          <cell r="H186">
            <v>0</v>
          </cell>
          <cell r="I186">
            <v>4800</v>
          </cell>
          <cell r="J186">
            <v>0</v>
          </cell>
          <cell r="K186">
            <v>0</v>
          </cell>
          <cell r="L186">
            <v>2400</v>
          </cell>
          <cell r="M186">
            <v>0</v>
          </cell>
          <cell r="N186">
            <v>0</v>
          </cell>
        </row>
        <row r="187">
          <cell r="A187" t="str">
            <v>9410</v>
          </cell>
          <cell r="B187" t="str">
            <v>015600131</v>
          </cell>
          <cell r="C187">
            <v>4800</v>
          </cell>
          <cell r="D187">
            <v>7200</v>
          </cell>
          <cell r="E187">
            <v>4800</v>
          </cell>
          <cell r="F187">
            <v>2400</v>
          </cell>
          <cell r="G187">
            <v>2400</v>
          </cell>
          <cell r="H187">
            <v>0</v>
          </cell>
          <cell r="I187">
            <v>4800</v>
          </cell>
          <cell r="J187">
            <v>2400</v>
          </cell>
          <cell r="K187">
            <v>0</v>
          </cell>
          <cell r="L187">
            <v>2400</v>
          </cell>
          <cell r="M187">
            <v>0</v>
          </cell>
          <cell r="N187">
            <v>2400</v>
          </cell>
        </row>
        <row r="188">
          <cell r="A188" t="str">
            <v>9410</v>
          </cell>
          <cell r="B188" t="str">
            <v>019400340</v>
          </cell>
          <cell r="C188">
            <v>4800</v>
          </cell>
          <cell r="D188">
            <v>4800</v>
          </cell>
          <cell r="E188">
            <v>4800</v>
          </cell>
          <cell r="F188">
            <v>4800</v>
          </cell>
          <cell r="G188">
            <v>0</v>
          </cell>
          <cell r="H188">
            <v>0</v>
          </cell>
          <cell r="I188">
            <v>0</v>
          </cell>
          <cell r="J188">
            <v>4800</v>
          </cell>
          <cell r="K188">
            <v>0</v>
          </cell>
          <cell r="L188">
            <v>0</v>
          </cell>
          <cell r="M188">
            <v>4800</v>
          </cell>
          <cell r="N188">
            <v>0</v>
          </cell>
        </row>
        <row r="189">
          <cell r="A189" t="str">
            <v>9410</v>
          </cell>
          <cell r="B189" t="str">
            <v>019400350</v>
          </cell>
          <cell r="C189">
            <v>4800</v>
          </cell>
          <cell r="D189">
            <v>0</v>
          </cell>
          <cell r="E189">
            <v>0</v>
          </cell>
          <cell r="F189">
            <v>4800</v>
          </cell>
          <cell r="G189">
            <v>0</v>
          </cell>
          <cell r="H189">
            <v>0</v>
          </cell>
          <cell r="I189">
            <v>0</v>
          </cell>
          <cell r="J189">
            <v>0</v>
          </cell>
          <cell r="K189">
            <v>0</v>
          </cell>
          <cell r="L189">
            <v>0</v>
          </cell>
          <cell r="M189">
            <v>0</v>
          </cell>
          <cell r="N189">
            <v>0</v>
          </cell>
        </row>
        <row r="190">
          <cell r="A190" t="str">
            <v>9420</v>
          </cell>
          <cell r="B190" t="str">
            <v>013808660</v>
          </cell>
          <cell r="C190">
            <v>4800</v>
          </cell>
          <cell r="D190">
            <v>14400</v>
          </cell>
          <cell r="E190">
            <v>14400</v>
          </cell>
          <cell r="F190">
            <v>0</v>
          </cell>
          <cell r="G190">
            <v>0</v>
          </cell>
          <cell r="H190">
            <v>4800</v>
          </cell>
          <cell r="I190">
            <v>0</v>
          </cell>
          <cell r="J190">
            <v>14400</v>
          </cell>
          <cell r="K190">
            <v>0</v>
          </cell>
          <cell r="L190">
            <v>0</v>
          </cell>
          <cell r="M190">
            <v>14400</v>
          </cell>
          <cell r="N190">
            <v>0</v>
          </cell>
        </row>
        <row r="191">
          <cell r="A191" t="str">
            <v>9420</v>
          </cell>
          <cell r="B191" t="str">
            <v>013808670</v>
          </cell>
          <cell r="C191">
            <v>4800</v>
          </cell>
          <cell r="D191">
            <v>14400</v>
          </cell>
          <cell r="E191">
            <v>14400</v>
          </cell>
          <cell r="F191">
            <v>0</v>
          </cell>
          <cell r="G191">
            <v>0</v>
          </cell>
          <cell r="H191">
            <v>4800</v>
          </cell>
          <cell r="I191">
            <v>0</v>
          </cell>
          <cell r="J191">
            <v>14400</v>
          </cell>
          <cell r="K191">
            <v>0</v>
          </cell>
          <cell r="L191">
            <v>0</v>
          </cell>
          <cell r="M191">
            <v>14400</v>
          </cell>
          <cell r="N191">
            <v>0</v>
          </cell>
        </row>
        <row r="192">
          <cell r="A192" t="str">
            <v>5100</v>
          </cell>
          <cell r="B192" t="str">
            <v>013701270</v>
          </cell>
          <cell r="C192">
            <v>4700</v>
          </cell>
          <cell r="D192">
            <v>0</v>
          </cell>
          <cell r="E192">
            <v>0</v>
          </cell>
          <cell r="F192">
            <v>0</v>
          </cell>
          <cell r="G192">
            <v>4700</v>
          </cell>
          <cell r="H192">
            <v>0</v>
          </cell>
          <cell r="I192">
            <v>0</v>
          </cell>
          <cell r="J192">
            <v>0</v>
          </cell>
          <cell r="K192">
            <v>0</v>
          </cell>
          <cell r="L192">
            <v>0</v>
          </cell>
          <cell r="M192">
            <v>0</v>
          </cell>
          <cell r="N192">
            <v>0</v>
          </cell>
        </row>
        <row r="193">
          <cell r="A193" t="str">
            <v>5100</v>
          </cell>
          <cell r="B193" t="str">
            <v>013701590</v>
          </cell>
          <cell r="C193">
            <v>4700</v>
          </cell>
          <cell r="D193">
            <v>0</v>
          </cell>
          <cell r="E193">
            <v>0</v>
          </cell>
          <cell r="F193">
            <v>4700</v>
          </cell>
          <cell r="G193">
            <v>0</v>
          </cell>
          <cell r="H193">
            <v>0</v>
          </cell>
          <cell r="I193">
            <v>0</v>
          </cell>
          <cell r="J193">
            <v>0</v>
          </cell>
          <cell r="K193">
            <v>0</v>
          </cell>
          <cell r="L193">
            <v>0</v>
          </cell>
          <cell r="M193">
            <v>0</v>
          </cell>
          <cell r="N193">
            <v>0</v>
          </cell>
        </row>
        <row r="194">
          <cell r="A194" t="str">
            <v>5100</v>
          </cell>
          <cell r="B194" t="str">
            <v>010602431</v>
          </cell>
          <cell r="C194">
            <v>4000</v>
          </cell>
          <cell r="D194">
            <v>4000</v>
          </cell>
          <cell r="E194">
            <v>4000</v>
          </cell>
          <cell r="F194">
            <v>0</v>
          </cell>
          <cell r="G194">
            <v>4000</v>
          </cell>
          <cell r="H194">
            <v>0</v>
          </cell>
          <cell r="I194">
            <v>0</v>
          </cell>
          <cell r="J194">
            <v>0</v>
          </cell>
          <cell r="K194">
            <v>4000</v>
          </cell>
          <cell r="L194">
            <v>0</v>
          </cell>
          <cell r="M194">
            <v>0</v>
          </cell>
          <cell r="N194">
            <v>4000</v>
          </cell>
        </row>
        <row r="195">
          <cell r="A195" t="str">
            <v>5100</v>
          </cell>
          <cell r="B195" t="str">
            <v>010700144</v>
          </cell>
          <cell r="C195">
            <v>4000</v>
          </cell>
          <cell r="D195">
            <v>0</v>
          </cell>
          <cell r="E195">
            <v>0</v>
          </cell>
          <cell r="F195">
            <v>0</v>
          </cell>
          <cell r="G195">
            <v>4000</v>
          </cell>
          <cell r="H195">
            <v>0</v>
          </cell>
          <cell r="I195">
            <v>0</v>
          </cell>
          <cell r="J195">
            <v>0</v>
          </cell>
          <cell r="K195">
            <v>0</v>
          </cell>
          <cell r="L195">
            <v>0</v>
          </cell>
          <cell r="M195">
            <v>0</v>
          </cell>
          <cell r="N195">
            <v>0</v>
          </cell>
        </row>
        <row r="196">
          <cell r="A196" t="str">
            <v>5100</v>
          </cell>
          <cell r="B196" t="str">
            <v>010700403</v>
          </cell>
          <cell r="C196">
            <v>4000</v>
          </cell>
          <cell r="D196">
            <v>0</v>
          </cell>
          <cell r="E196">
            <v>0</v>
          </cell>
          <cell r="F196">
            <v>0</v>
          </cell>
          <cell r="G196">
            <v>4000</v>
          </cell>
          <cell r="H196">
            <v>0</v>
          </cell>
          <cell r="I196">
            <v>0</v>
          </cell>
          <cell r="J196">
            <v>0</v>
          </cell>
          <cell r="K196">
            <v>0</v>
          </cell>
          <cell r="L196">
            <v>0</v>
          </cell>
          <cell r="M196">
            <v>0</v>
          </cell>
          <cell r="N196">
            <v>0</v>
          </cell>
        </row>
        <row r="197">
          <cell r="A197" t="str">
            <v>5100</v>
          </cell>
          <cell r="B197" t="str">
            <v>011402793</v>
          </cell>
          <cell r="C197">
            <v>4000</v>
          </cell>
          <cell r="D197">
            <v>4000</v>
          </cell>
          <cell r="E197">
            <v>4000</v>
          </cell>
          <cell r="F197">
            <v>2000</v>
          </cell>
          <cell r="G197">
            <v>0</v>
          </cell>
          <cell r="H197">
            <v>2000</v>
          </cell>
          <cell r="I197">
            <v>0</v>
          </cell>
          <cell r="J197">
            <v>0</v>
          </cell>
          <cell r="K197">
            <v>4000</v>
          </cell>
          <cell r="L197">
            <v>0</v>
          </cell>
          <cell r="M197">
            <v>0</v>
          </cell>
          <cell r="N197">
            <v>4000</v>
          </cell>
        </row>
        <row r="198">
          <cell r="A198" t="str">
            <v>5100</v>
          </cell>
          <cell r="B198" t="str">
            <v>011403901</v>
          </cell>
          <cell r="C198">
            <v>4000</v>
          </cell>
          <cell r="D198">
            <v>0</v>
          </cell>
          <cell r="E198">
            <v>0</v>
          </cell>
          <cell r="F198">
            <v>2000</v>
          </cell>
          <cell r="G198">
            <v>0</v>
          </cell>
          <cell r="H198">
            <v>2000</v>
          </cell>
          <cell r="I198">
            <v>0</v>
          </cell>
          <cell r="J198">
            <v>0</v>
          </cell>
          <cell r="K198">
            <v>0</v>
          </cell>
          <cell r="L198">
            <v>0</v>
          </cell>
          <cell r="M198">
            <v>0</v>
          </cell>
          <cell r="N198">
            <v>0</v>
          </cell>
        </row>
        <row r="199">
          <cell r="A199" t="str">
            <v>5100</v>
          </cell>
          <cell r="B199" t="str">
            <v>011404051</v>
          </cell>
          <cell r="C199">
            <v>4000</v>
          </cell>
          <cell r="D199">
            <v>6000</v>
          </cell>
          <cell r="E199">
            <v>0</v>
          </cell>
          <cell r="F199">
            <v>0</v>
          </cell>
          <cell r="G199">
            <v>4000</v>
          </cell>
          <cell r="H199">
            <v>0</v>
          </cell>
          <cell r="I199">
            <v>0</v>
          </cell>
          <cell r="J199">
            <v>6000</v>
          </cell>
          <cell r="K199">
            <v>0</v>
          </cell>
          <cell r="L199">
            <v>0</v>
          </cell>
          <cell r="M199">
            <v>0</v>
          </cell>
          <cell r="N199">
            <v>0</v>
          </cell>
        </row>
        <row r="200">
          <cell r="A200" t="str">
            <v>5100</v>
          </cell>
          <cell r="B200" t="str">
            <v>011404061</v>
          </cell>
          <cell r="C200">
            <v>4000</v>
          </cell>
          <cell r="D200">
            <v>6000</v>
          </cell>
          <cell r="E200">
            <v>0</v>
          </cell>
          <cell r="F200">
            <v>0</v>
          </cell>
          <cell r="G200">
            <v>4000</v>
          </cell>
          <cell r="H200">
            <v>0</v>
          </cell>
          <cell r="I200">
            <v>6000</v>
          </cell>
          <cell r="J200">
            <v>0</v>
          </cell>
          <cell r="K200">
            <v>0</v>
          </cell>
          <cell r="L200">
            <v>0</v>
          </cell>
          <cell r="M200">
            <v>0</v>
          </cell>
          <cell r="N200">
            <v>0</v>
          </cell>
        </row>
        <row r="201">
          <cell r="A201" t="str">
            <v>5100</v>
          </cell>
          <cell r="B201" t="str">
            <v>011404662</v>
          </cell>
          <cell r="C201">
            <v>4000</v>
          </cell>
          <cell r="D201">
            <v>8000</v>
          </cell>
          <cell r="E201">
            <v>4000</v>
          </cell>
          <cell r="F201">
            <v>0</v>
          </cell>
          <cell r="G201">
            <v>4000</v>
          </cell>
          <cell r="H201">
            <v>0</v>
          </cell>
          <cell r="I201">
            <v>4000</v>
          </cell>
          <cell r="J201">
            <v>0</v>
          </cell>
          <cell r="K201">
            <v>4000</v>
          </cell>
          <cell r="L201">
            <v>0</v>
          </cell>
          <cell r="M201">
            <v>0</v>
          </cell>
          <cell r="N201">
            <v>4000</v>
          </cell>
        </row>
        <row r="202">
          <cell r="A202" t="str">
            <v>5100</v>
          </cell>
          <cell r="B202" t="str">
            <v>011405620</v>
          </cell>
          <cell r="C202">
            <v>4000</v>
          </cell>
          <cell r="D202">
            <v>4000</v>
          </cell>
          <cell r="E202">
            <v>4000</v>
          </cell>
          <cell r="F202">
            <v>0</v>
          </cell>
          <cell r="G202">
            <v>4000</v>
          </cell>
          <cell r="H202">
            <v>0</v>
          </cell>
          <cell r="I202">
            <v>4000</v>
          </cell>
          <cell r="J202">
            <v>0</v>
          </cell>
          <cell r="K202">
            <v>0</v>
          </cell>
          <cell r="L202">
            <v>4000</v>
          </cell>
          <cell r="M202">
            <v>0</v>
          </cell>
          <cell r="N202">
            <v>0</v>
          </cell>
        </row>
        <row r="203">
          <cell r="A203" t="str">
            <v>5100</v>
          </cell>
          <cell r="B203" t="str">
            <v>012200964</v>
          </cell>
          <cell r="C203">
            <v>4000</v>
          </cell>
          <cell r="D203">
            <v>8000</v>
          </cell>
          <cell r="E203">
            <v>0</v>
          </cell>
          <cell r="F203">
            <v>0</v>
          </cell>
          <cell r="G203">
            <v>4000</v>
          </cell>
          <cell r="H203">
            <v>0</v>
          </cell>
          <cell r="I203">
            <v>4000</v>
          </cell>
          <cell r="J203">
            <v>0</v>
          </cell>
          <cell r="K203">
            <v>4000</v>
          </cell>
          <cell r="L203">
            <v>0</v>
          </cell>
          <cell r="M203">
            <v>0</v>
          </cell>
          <cell r="N203">
            <v>0</v>
          </cell>
        </row>
        <row r="204">
          <cell r="A204" t="str">
            <v>5100</v>
          </cell>
          <cell r="B204" t="str">
            <v>012700380</v>
          </cell>
          <cell r="C204">
            <v>4000</v>
          </cell>
          <cell r="D204">
            <v>0</v>
          </cell>
          <cell r="E204">
            <v>0</v>
          </cell>
          <cell r="F204">
            <v>0</v>
          </cell>
          <cell r="G204">
            <v>0</v>
          </cell>
          <cell r="H204">
            <v>4000</v>
          </cell>
          <cell r="I204">
            <v>0</v>
          </cell>
          <cell r="J204">
            <v>0</v>
          </cell>
          <cell r="K204">
            <v>0</v>
          </cell>
          <cell r="L204">
            <v>0</v>
          </cell>
          <cell r="M204">
            <v>0</v>
          </cell>
          <cell r="N204">
            <v>0</v>
          </cell>
        </row>
        <row r="205">
          <cell r="A205" t="str">
            <v>5100</v>
          </cell>
          <cell r="B205" t="str">
            <v>012700601</v>
          </cell>
          <cell r="C205">
            <v>4000</v>
          </cell>
          <cell r="D205">
            <v>4000</v>
          </cell>
          <cell r="E205">
            <v>4000</v>
          </cell>
          <cell r="F205">
            <v>0</v>
          </cell>
          <cell r="G205">
            <v>0</v>
          </cell>
          <cell r="H205">
            <v>4000</v>
          </cell>
          <cell r="I205">
            <v>0</v>
          </cell>
          <cell r="J205">
            <v>0</v>
          </cell>
          <cell r="K205">
            <v>4000</v>
          </cell>
          <cell r="L205">
            <v>0</v>
          </cell>
          <cell r="M205">
            <v>0</v>
          </cell>
          <cell r="N205">
            <v>4000</v>
          </cell>
        </row>
        <row r="206">
          <cell r="A206" t="str">
            <v>5100</v>
          </cell>
          <cell r="B206" t="str">
            <v>013808750</v>
          </cell>
          <cell r="C206">
            <v>4000</v>
          </cell>
          <cell r="D206">
            <v>4000</v>
          </cell>
          <cell r="E206">
            <v>2000</v>
          </cell>
          <cell r="F206">
            <v>2000</v>
          </cell>
          <cell r="G206">
            <v>2000</v>
          </cell>
          <cell r="H206">
            <v>0</v>
          </cell>
          <cell r="I206">
            <v>2000</v>
          </cell>
          <cell r="J206">
            <v>0</v>
          </cell>
          <cell r="K206">
            <v>2000</v>
          </cell>
          <cell r="L206">
            <v>2000</v>
          </cell>
          <cell r="M206">
            <v>0</v>
          </cell>
          <cell r="N206">
            <v>0</v>
          </cell>
        </row>
        <row r="207">
          <cell r="A207" t="str">
            <v>5100</v>
          </cell>
          <cell r="B207" t="str">
            <v>014002050</v>
          </cell>
          <cell r="C207">
            <v>4000</v>
          </cell>
          <cell r="D207">
            <v>4000</v>
          </cell>
          <cell r="E207">
            <v>0</v>
          </cell>
          <cell r="F207">
            <v>2000</v>
          </cell>
          <cell r="G207">
            <v>2000</v>
          </cell>
          <cell r="H207">
            <v>0</v>
          </cell>
          <cell r="I207">
            <v>2000</v>
          </cell>
          <cell r="J207">
            <v>0</v>
          </cell>
          <cell r="K207">
            <v>2000</v>
          </cell>
          <cell r="L207">
            <v>0</v>
          </cell>
          <cell r="M207">
            <v>0</v>
          </cell>
          <cell r="N207">
            <v>0</v>
          </cell>
        </row>
        <row r="208">
          <cell r="A208" t="str">
            <v>5100</v>
          </cell>
          <cell r="B208" t="str">
            <v>014002320</v>
          </cell>
          <cell r="C208">
            <v>4000</v>
          </cell>
          <cell r="D208">
            <v>2000</v>
          </cell>
          <cell r="E208">
            <v>0</v>
          </cell>
          <cell r="F208">
            <v>2000</v>
          </cell>
          <cell r="G208">
            <v>0</v>
          </cell>
          <cell r="H208">
            <v>2000</v>
          </cell>
          <cell r="I208">
            <v>0</v>
          </cell>
          <cell r="J208">
            <v>2000</v>
          </cell>
          <cell r="K208">
            <v>0</v>
          </cell>
          <cell r="L208">
            <v>0</v>
          </cell>
          <cell r="M208">
            <v>0</v>
          </cell>
          <cell r="N208">
            <v>0</v>
          </cell>
        </row>
        <row r="209">
          <cell r="A209" t="str">
            <v>5100</v>
          </cell>
          <cell r="B209" t="str">
            <v>015400590</v>
          </cell>
          <cell r="C209">
            <v>4000</v>
          </cell>
          <cell r="D209">
            <v>4000</v>
          </cell>
          <cell r="E209">
            <v>0</v>
          </cell>
          <cell r="F209">
            <v>0</v>
          </cell>
          <cell r="G209">
            <v>4000</v>
          </cell>
          <cell r="H209">
            <v>0</v>
          </cell>
          <cell r="I209">
            <v>0</v>
          </cell>
          <cell r="J209">
            <v>0</v>
          </cell>
          <cell r="K209">
            <v>4000</v>
          </cell>
          <cell r="L209">
            <v>0</v>
          </cell>
          <cell r="M209">
            <v>0</v>
          </cell>
          <cell r="N209">
            <v>0</v>
          </cell>
        </row>
        <row r="210">
          <cell r="A210" t="str">
            <v>5100</v>
          </cell>
          <cell r="B210" t="str">
            <v>015500622</v>
          </cell>
          <cell r="C210">
            <v>4000</v>
          </cell>
          <cell r="D210">
            <v>0</v>
          </cell>
          <cell r="E210">
            <v>0</v>
          </cell>
          <cell r="F210">
            <v>4000</v>
          </cell>
          <cell r="G210">
            <v>0</v>
          </cell>
          <cell r="H210">
            <v>0</v>
          </cell>
          <cell r="I210">
            <v>0</v>
          </cell>
          <cell r="J210">
            <v>0</v>
          </cell>
          <cell r="K210">
            <v>0</v>
          </cell>
          <cell r="L210">
            <v>0</v>
          </cell>
          <cell r="M210">
            <v>0</v>
          </cell>
          <cell r="N210">
            <v>0</v>
          </cell>
        </row>
        <row r="211">
          <cell r="A211" t="str">
            <v>5100</v>
          </cell>
          <cell r="B211" t="str">
            <v>015502230</v>
          </cell>
          <cell r="C211">
            <v>4000</v>
          </cell>
          <cell r="D211">
            <v>4000</v>
          </cell>
          <cell r="E211">
            <v>0</v>
          </cell>
          <cell r="F211">
            <v>0</v>
          </cell>
          <cell r="G211">
            <v>0</v>
          </cell>
          <cell r="H211">
            <v>4000</v>
          </cell>
          <cell r="I211">
            <v>0</v>
          </cell>
          <cell r="J211">
            <v>4000</v>
          </cell>
          <cell r="K211">
            <v>0</v>
          </cell>
          <cell r="L211">
            <v>0</v>
          </cell>
          <cell r="M211">
            <v>0</v>
          </cell>
          <cell r="N211">
            <v>0</v>
          </cell>
        </row>
        <row r="212">
          <cell r="A212" t="str">
            <v>9410</v>
          </cell>
          <cell r="B212" t="str">
            <v>010700682</v>
          </cell>
          <cell r="C212">
            <v>4000</v>
          </cell>
          <cell r="D212">
            <v>4000</v>
          </cell>
          <cell r="E212">
            <v>4000</v>
          </cell>
          <cell r="F212">
            <v>0</v>
          </cell>
          <cell r="G212">
            <v>0</v>
          </cell>
          <cell r="H212">
            <v>4000</v>
          </cell>
          <cell r="I212">
            <v>0</v>
          </cell>
          <cell r="J212">
            <v>0</v>
          </cell>
          <cell r="K212">
            <v>4000</v>
          </cell>
          <cell r="L212">
            <v>0</v>
          </cell>
          <cell r="M212">
            <v>0</v>
          </cell>
          <cell r="N212">
            <v>4000</v>
          </cell>
        </row>
        <row r="213">
          <cell r="A213" t="str">
            <v>9410</v>
          </cell>
          <cell r="B213" t="str">
            <v>015201821</v>
          </cell>
          <cell r="C213">
            <v>4000</v>
          </cell>
          <cell r="D213">
            <v>0</v>
          </cell>
          <cell r="E213">
            <v>0</v>
          </cell>
          <cell r="F213">
            <v>0</v>
          </cell>
          <cell r="G213">
            <v>4000</v>
          </cell>
          <cell r="H213">
            <v>0</v>
          </cell>
          <cell r="I213">
            <v>0</v>
          </cell>
          <cell r="J213">
            <v>0</v>
          </cell>
          <cell r="K213">
            <v>0</v>
          </cell>
          <cell r="L213">
            <v>0</v>
          </cell>
          <cell r="M213">
            <v>0</v>
          </cell>
          <cell r="N213">
            <v>0</v>
          </cell>
        </row>
        <row r="214">
          <cell r="A214" t="str">
            <v>9420</v>
          </cell>
          <cell r="B214" t="str">
            <v>011404423</v>
          </cell>
          <cell r="C214">
            <v>4000</v>
          </cell>
          <cell r="D214">
            <v>8000</v>
          </cell>
          <cell r="E214">
            <v>8000</v>
          </cell>
          <cell r="F214">
            <v>0</v>
          </cell>
          <cell r="G214">
            <v>4000</v>
          </cell>
          <cell r="H214">
            <v>0</v>
          </cell>
          <cell r="I214">
            <v>4000</v>
          </cell>
          <cell r="J214">
            <v>4000</v>
          </cell>
          <cell r="K214">
            <v>0</v>
          </cell>
          <cell r="L214">
            <v>4000</v>
          </cell>
          <cell r="M214">
            <v>4000</v>
          </cell>
          <cell r="N214">
            <v>0</v>
          </cell>
        </row>
        <row r="215">
          <cell r="A215" t="str">
            <v>9420</v>
          </cell>
          <cell r="B215" t="str">
            <v>013806940</v>
          </cell>
          <cell r="C215">
            <v>4000</v>
          </cell>
          <cell r="D215">
            <v>4000</v>
          </cell>
          <cell r="E215">
            <v>0</v>
          </cell>
          <cell r="F215">
            <v>4000</v>
          </cell>
          <cell r="G215">
            <v>0</v>
          </cell>
          <cell r="H215">
            <v>0</v>
          </cell>
          <cell r="I215">
            <v>0</v>
          </cell>
          <cell r="J215">
            <v>4000</v>
          </cell>
          <cell r="K215">
            <v>0</v>
          </cell>
          <cell r="L215">
            <v>0</v>
          </cell>
          <cell r="M215">
            <v>0</v>
          </cell>
          <cell r="N215">
            <v>0</v>
          </cell>
        </row>
        <row r="216">
          <cell r="A216" t="str">
            <v>9420</v>
          </cell>
          <cell r="B216" t="str">
            <v>013807540</v>
          </cell>
          <cell r="C216">
            <v>4000</v>
          </cell>
          <cell r="D216">
            <v>0</v>
          </cell>
          <cell r="E216">
            <v>4000</v>
          </cell>
          <cell r="F216">
            <v>0</v>
          </cell>
          <cell r="G216">
            <v>0</v>
          </cell>
          <cell r="H216">
            <v>4000</v>
          </cell>
          <cell r="I216">
            <v>0</v>
          </cell>
          <cell r="J216">
            <v>0</v>
          </cell>
          <cell r="K216">
            <v>0</v>
          </cell>
          <cell r="L216">
            <v>4000</v>
          </cell>
          <cell r="M216">
            <v>0</v>
          </cell>
          <cell r="N216">
            <v>0</v>
          </cell>
        </row>
        <row r="217">
          <cell r="A217" t="str">
            <v>9420</v>
          </cell>
          <cell r="B217" t="str">
            <v>015201871</v>
          </cell>
          <cell r="C217">
            <v>4000</v>
          </cell>
          <cell r="D217">
            <v>0</v>
          </cell>
          <cell r="E217">
            <v>0</v>
          </cell>
          <cell r="F217">
            <v>0</v>
          </cell>
          <cell r="G217">
            <v>0</v>
          </cell>
          <cell r="H217">
            <v>4000</v>
          </cell>
          <cell r="I217">
            <v>0</v>
          </cell>
          <cell r="J217">
            <v>0</v>
          </cell>
          <cell r="K217">
            <v>0</v>
          </cell>
          <cell r="L217">
            <v>0</v>
          </cell>
          <cell r="M217">
            <v>0</v>
          </cell>
          <cell r="N217">
            <v>0</v>
          </cell>
        </row>
        <row r="218">
          <cell r="A218" t="str">
            <v>5100</v>
          </cell>
          <cell r="B218" t="str">
            <v>011405351</v>
          </cell>
          <cell r="C218">
            <v>3600</v>
          </cell>
          <cell r="D218">
            <v>3600</v>
          </cell>
          <cell r="E218">
            <v>0</v>
          </cell>
          <cell r="F218">
            <v>0</v>
          </cell>
          <cell r="G218">
            <v>3600</v>
          </cell>
          <cell r="H218">
            <v>0</v>
          </cell>
          <cell r="I218">
            <v>3600</v>
          </cell>
          <cell r="J218">
            <v>0</v>
          </cell>
          <cell r="K218">
            <v>0</v>
          </cell>
          <cell r="L218">
            <v>0</v>
          </cell>
          <cell r="M218">
            <v>0</v>
          </cell>
          <cell r="N218">
            <v>0</v>
          </cell>
        </row>
        <row r="219">
          <cell r="A219" t="str">
            <v>5100</v>
          </cell>
          <cell r="B219" t="str">
            <v>014000893</v>
          </cell>
          <cell r="C219">
            <v>3600</v>
          </cell>
          <cell r="D219">
            <v>0</v>
          </cell>
          <cell r="E219">
            <v>0</v>
          </cell>
          <cell r="F219">
            <v>0</v>
          </cell>
          <cell r="G219">
            <v>0</v>
          </cell>
          <cell r="H219">
            <v>3600</v>
          </cell>
          <cell r="I219">
            <v>0</v>
          </cell>
          <cell r="J219">
            <v>0</v>
          </cell>
          <cell r="K219">
            <v>0</v>
          </cell>
          <cell r="L219">
            <v>0</v>
          </cell>
          <cell r="M219">
            <v>0</v>
          </cell>
          <cell r="N219">
            <v>0</v>
          </cell>
        </row>
        <row r="220">
          <cell r="A220" t="str">
            <v>5100</v>
          </cell>
          <cell r="B220" t="str">
            <v>012700351</v>
          </cell>
          <cell r="C220">
            <v>3000</v>
          </cell>
          <cell r="D220">
            <v>0</v>
          </cell>
          <cell r="E220">
            <v>0</v>
          </cell>
          <cell r="F220">
            <v>0</v>
          </cell>
          <cell r="G220">
            <v>3000</v>
          </cell>
          <cell r="H220">
            <v>0</v>
          </cell>
          <cell r="I220">
            <v>0</v>
          </cell>
          <cell r="J220">
            <v>0</v>
          </cell>
          <cell r="K220">
            <v>0</v>
          </cell>
          <cell r="L220">
            <v>0</v>
          </cell>
          <cell r="M220">
            <v>0</v>
          </cell>
          <cell r="N220">
            <v>0</v>
          </cell>
        </row>
        <row r="221">
          <cell r="A221" t="str">
            <v>5100</v>
          </cell>
          <cell r="B221" t="str">
            <v>012700461</v>
          </cell>
          <cell r="C221">
            <v>3000</v>
          </cell>
          <cell r="D221">
            <v>0</v>
          </cell>
          <cell r="E221">
            <v>0</v>
          </cell>
          <cell r="F221">
            <v>0</v>
          </cell>
          <cell r="G221">
            <v>3000</v>
          </cell>
          <cell r="H221">
            <v>0</v>
          </cell>
          <cell r="I221">
            <v>0</v>
          </cell>
          <cell r="J221">
            <v>0</v>
          </cell>
          <cell r="K221">
            <v>0</v>
          </cell>
          <cell r="L221">
            <v>0</v>
          </cell>
          <cell r="M221">
            <v>0</v>
          </cell>
          <cell r="N221">
            <v>0</v>
          </cell>
        </row>
        <row r="222">
          <cell r="A222" t="str">
            <v>5100</v>
          </cell>
          <cell r="B222" t="str">
            <v>012900471</v>
          </cell>
          <cell r="C222">
            <v>3000</v>
          </cell>
          <cell r="D222">
            <v>0</v>
          </cell>
          <cell r="E222">
            <v>0</v>
          </cell>
          <cell r="F222">
            <v>0</v>
          </cell>
          <cell r="G222">
            <v>3000</v>
          </cell>
          <cell r="H222">
            <v>0</v>
          </cell>
          <cell r="I222">
            <v>0</v>
          </cell>
          <cell r="J222">
            <v>0</v>
          </cell>
          <cell r="K222">
            <v>0</v>
          </cell>
          <cell r="L222">
            <v>0</v>
          </cell>
          <cell r="M222">
            <v>0</v>
          </cell>
          <cell r="N222">
            <v>0</v>
          </cell>
        </row>
        <row r="223">
          <cell r="A223" t="str">
            <v>5100</v>
          </cell>
          <cell r="B223" t="str">
            <v>013701301</v>
          </cell>
          <cell r="C223">
            <v>3000</v>
          </cell>
          <cell r="D223">
            <v>0</v>
          </cell>
          <cell r="E223">
            <v>0</v>
          </cell>
          <cell r="F223">
            <v>0</v>
          </cell>
          <cell r="G223">
            <v>3000</v>
          </cell>
          <cell r="H223">
            <v>0</v>
          </cell>
          <cell r="I223">
            <v>0</v>
          </cell>
          <cell r="J223">
            <v>0</v>
          </cell>
          <cell r="K223">
            <v>0</v>
          </cell>
          <cell r="L223">
            <v>0</v>
          </cell>
          <cell r="M223">
            <v>0</v>
          </cell>
          <cell r="N223">
            <v>0</v>
          </cell>
        </row>
        <row r="224">
          <cell r="A224" t="str">
            <v>5100</v>
          </cell>
          <cell r="B224" t="str">
            <v>014800451</v>
          </cell>
          <cell r="C224">
            <v>2600</v>
          </cell>
          <cell r="D224">
            <v>0</v>
          </cell>
          <cell r="E224">
            <v>0</v>
          </cell>
          <cell r="F224">
            <v>2600</v>
          </cell>
          <cell r="G224">
            <v>0</v>
          </cell>
          <cell r="H224">
            <v>0</v>
          </cell>
          <cell r="I224">
            <v>0</v>
          </cell>
          <cell r="J224">
            <v>0</v>
          </cell>
          <cell r="K224">
            <v>0</v>
          </cell>
          <cell r="L224">
            <v>0</v>
          </cell>
          <cell r="M224">
            <v>0</v>
          </cell>
          <cell r="N224">
            <v>0</v>
          </cell>
        </row>
        <row r="225">
          <cell r="A225" t="str">
            <v>5100</v>
          </cell>
          <cell r="B225" t="str">
            <v>011404901</v>
          </cell>
          <cell r="C225">
            <v>2400</v>
          </cell>
          <cell r="D225">
            <v>4800</v>
          </cell>
          <cell r="E225">
            <v>2400</v>
          </cell>
          <cell r="F225">
            <v>0</v>
          </cell>
          <cell r="G225">
            <v>2400</v>
          </cell>
          <cell r="H225">
            <v>0</v>
          </cell>
          <cell r="I225">
            <v>2400</v>
          </cell>
          <cell r="J225">
            <v>0</v>
          </cell>
          <cell r="K225">
            <v>2400</v>
          </cell>
          <cell r="L225">
            <v>0</v>
          </cell>
          <cell r="M225">
            <v>0</v>
          </cell>
          <cell r="N225">
            <v>2400</v>
          </cell>
        </row>
        <row r="226">
          <cell r="A226" t="str">
            <v>5100</v>
          </cell>
          <cell r="B226" t="str">
            <v>011405242</v>
          </cell>
          <cell r="C226">
            <v>2400</v>
          </cell>
          <cell r="D226">
            <v>2400</v>
          </cell>
          <cell r="E226">
            <v>2400</v>
          </cell>
          <cell r="F226">
            <v>0</v>
          </cell>
          <cell r="G226">
            <v>2400</v>
          </cell>
          <cell r="H226">
            <v>0</v>
          </cell>
          <cell r="I226">
            <v>2400</v>
          </cell>
          <cell r="J226">
            <v>0</v>
          </cell>
          <cell r="K226">
            <v>0</v>
          </cell>
          <cell r="L226">
            <v>2400</v>
          </cell>
          <cell r="M226">
            <v>0</v>
          </cell>
          <cell r="N226">
            <v>0</v>
          </cell>
        </row>
        <row r="227">
          <cell r="A227" t="str">
            <v>5100</v>
          </cell>
          <cell r="B227" t="str">
            <v>012200932</v>
          </cell>
          <cell r="C227">
            <v>2400</v>
          </cell>
          <cell r="D227">
            <v>2400</v>
          </cell>
          <cell r="E227">
            <v>2400</v>
          </cell>
          <cell r="F227">
            <v>0</v>
          </cell>
          <cell r="G227">
            <v>2400</v>
          </cell>
          <cell r="H227">
            <v>0</v>
          </cell>
          <cell r="I227">
            <v>2400</v>
          </cell>
          <cell r="J227">
            <v>0</v>
          </cell>
          <cell r="K227">
            <v>0</v>
          </cell>
          <cell r="L227">
            <v>2400</v>
          </cell>
          <cell r="M227">
            <v>0</v>
          </cell>
          <cell r="N227">
            <v>0</v>
          </cell>
        </row>
        <row r="228">
          <cell r="A228" t="str">
            <v>5100</v>
          </cell>
          <cell r="B228" t="str">
            <v>012201261</v>
          </cell>
          <cell r="C228">
            <v>2400</v>
          </cell>
          <cell r="D228">
            <v>7200</v>
          </cell>
          <cell r="E228">
            <v>4800</v>
          </cell>
          <cell r="F228">
            <v>0</v>
          </cell>
          <cell r="G228">
            <v>2400</v>
          </cell>
          <cell r="H228">
            <v>0</v>
          </cell>
          <cell r="I228">
            <v>2400</v>
          </cell>
          <cell r="J228">
            <v>2400</v>
          </cell>
          <cell r="K228">
            <v>2400</v>
          </cell>
          <cell r="L228">
            <v>2400</v>
          </cell>
          <cell r="M228">
            <v>0</v>
          </cell>
          <cell r="N228">
            <v>2400</v>
          </cell>
        </row>
        <row r="229">
          <cell r="A229" t="str">
            <v>5100</v>
          </cell>
          <cell r="B229" t="str">
            <v>012201720</v>
          </cell>
          <cell r="C229">
            <v>2400</v>
          </cell>
          <cell r="D229">
            <v>2400</v>
          </cell>
          <cell r="E229">
            <v>0</v>
          </cell>
          <cell r="F229">
            <v>0</v>
          </cell>
          <cell r="G229">
            <v>0</v>
          </cell>
          <cell r="H229">
            <v>2400</v>
          </cell>
          <cell r="I229">
            <v>0</v>
          </cell>
          <cell r="J229">
            <v>2400</v>
          </cell>
          <cell r="K229">
            <v>0</v>
          </cell>
          <cell r="L229">
            <v>0</v>
          </cell>
          <cell r="M229">
            <v>0</v>
          </cell>
          <cell r="N229">
            <v>0</v>
          </cell>
        </row>
        <row r="230">
          <cell r="A230" t="str">
            <v>5100</v>
          </cell>
          <cell r="B230" t="str">
            <v>012700511</v>
          </cell>
          <cell r="C230">
            <v>2400</v>
          </cell>
          <cell r="D230">
            <v>1200</v>
          </cell>
          <cell r="E230">
            <v>1200</v>
          </cell>
          <cell r="F230">
            <v>1200</v>
          </cell>
          <cell r="G230">
            <v>1200</v>
          </cell>
          <cell r="H230">
            <v>0</v>
          </cell>
          <cell r="I230">
            <v>1200</v>
          </cell>
          <cell r="J230">
            <v>0</v>
          </cell>
          <cell r="K230">
            <v>0</v>
          </cell>
          <cell r="L230">
            <v>1200</v>
          </cell>
          <cell r="M230">
            <v>0</v>
          </cell>
          <cell r="N230">
            <v>0</v>
          </cell>
        </row>
        <row r="231">
          <cell r="A231" t="str">
            <v>5100</v>
          </cell>
          <cell r="B231" t="str">
            <v>014001590</v>
          </cell>
          <cell r="C231">
            <v>2400</v>
          </cell>
          <cell r="D231">
            <v>4800</v>
          </cell>
          <cell r="E231">
            <v>2400</v>
          </cell>
          <cell r="F231">
            <v>0</v>
          </cell>
          <cell r="G231">
            <v>2400</v>
          </cell>
          <cell r="H231">
            <v>0</v>
          </cell>
          <cell r="I231">
            <v>2400</v>
          </cell>
          <cell r="J231">
            <v>0</v>
          </cell>
          <cell r="K231">
            <v>2400</v>
          </cell>
          <cell r="L231">
            <v>0</v>
          </cell>
          <cell r="M231">
            <v>0</v>
          </cell>
          <cell r="N231">
            <v>2400</v>
          </cell>
        </row>
        <row r="232">
          <cell r="A232" t="str">
            <v>5100</v>
          </cell>
          <cell r="B232" t="str">
            <v>014001701</v>
          </cell>
          <cell r="C232">
            <v>2400</v>
          </cell>
          <cell r="D232">
            <v>4800</v>
          </cell>
          <cell r="E232">
            <v>2400</v>
          </cell>
          <cell r="F232">
            <v>2400</v>
          </cell>
          <cell r="G232">
            <v>0</v>
          </cell>
          <cell r="H232">
            <v>0</v>
          </cell>
          <cell r="I232">
            <v>2400</v>
          </cell>
          <cell r="J232">
            <v>0</v>
          </cell>
          <cell r="K232">
            <v>2400</v>
          </cell>
          <cell r="L232">
            <v>0</v>
          </cell>
          <cell r="M232">
            <v>0</v>
          </cell>
          <cell r="N232">
            <v>2400</v>
          </cell>
        </row>
        <row r="233">
          <cell r="A233" t="str">
            <v>5100</v>
          </cell>
          <cell r="B233" t="str">
            <v>014001970</v>
          </cell>
          <cell r="C233">
            <v>2400</v>
          </cell>
          <cell r="D233">
            <v>2400</v>
          </cell>
          <cell r="E233">
            <v>2400</v>
          </cell>
          <cell r="F233">
            <v>0</v>
          </cell>
          <cell r="G233">
            <v>2400</v>
          </cell>
          <cell r="H233">
            <v>0</v>
          </cell>
          <cell r="I233">
            <v>0</v>
          </cell>
          <cell r="J233">
            <v>2400</v>
          </cell>
          <cell r="K233">
            <v>0</v>
          </cell>
          <cell r="L233">
            <v>2400</v>
          </cell>
          <cell r="M233">
            <v>0</v>
          </cell>
          <cell r="N233">
            <v>0</v>
          </cell>
        </row>
        <row r="234">
          <cell r="A234" t="str">
            <v>5100</v>
          </cell>
          <cell r="B234" t="str">
            <v>014002270</v>
          </cell>
          <cell r="C234">
            <v>2400</v>
          </cell>
          <cell r="D234">
            <v>2400</v>
          </cell>
          <cell r="E234">
            <v>0</v>
          </cell>
          <cell r="F234">
            <v>0</v>
          </cell>
          <cell r="G234">
            <v>0</v>
          </cell>
          <cell r="H234">
            <v>2400</v>
          </cell>
          <cell r="I234">
            <v>0</v>
          </cell>
          <cell r="J234">
            <v>2400</v>
          </cell>
          <cell r="K234">
            <v>0</v>
          </cell>
          <cell r="L234">
            <v>0</v>
          </cell>
          <cell r="M234">
            <v>0</v>
          </cell>
          <cell r="N234">
            <v>0</v>
          </cell>
        </row>
        <row r="235">
          <cell r="A235" t="str">
            <v>9410</v>
          </cell>
          <cell r="B235" t="str">
            <v>010601900</v>
          </cell>
          <cell r="C235">
            <v>2400</v>
          </cell>
          <cell r="D235">
            <v>4800</v>
          </cell>
          <cell r="E235">
            <v>4800</v>
          </cell>
          <cell r="F235">
            <v>2400</v>
          </cell>
          <cell r="G235">
            <v>0</v>
          </cell>
          <cell r="H235">
            <v>0</v>
          </cell>
          <cell r="I235">
            <v>4800</v>
          </cell>
          <cell r="J235">
            <v>0</v>
          </cell>
          <cell r="K235">
            <v>0</v>
          </cell>
          <cell r="L235">
            <v>4800</v>
          </cell>
          <cell r="M235">
            <v>0</v>
          </cell>
          <cell r="N235">
            <v>0</v>
          </cell>
        </row>
        <row r="236">
          <cell r="A236" t="str">
            <v>9410</v>
          </cell>
          <cell r="B236" t="str">
            <v>010602161</v>
          </cell>
          <cell r="C236">
            <v>2400</v>
          </cell>
          <cell r="D236">
            <v>0</v>
          </cell>
          <cell r="E236">
            <v>0</v>
          </cell>
          <cell r="F236">
            <v>2400</v>
          </cell>
          <cell r="G236">
            <v>0</v>
          </cell>
          <cell r="H236">
            <v>0</v>
          </cell>
          <cell r="I236">
            <v>0</v>
          </cell>
          <cell r="J236">
            <v>0</v>
          </cell>
          <cell r="K236">
            <v>0</v>
          </cell>
          <cell r="L236">
            <v>0</v>
          </cell>
          <cell r="M236">
            <v>0</v>
          </cell>
          <cell r="N236">
            <v>0</v>
          </cell>
        </row>
        <row r="237">
          <cell r="A237" t="str">
            <v>9410</v>
          </cell>
          <cell r="B237" t="str">
            <v>011404582</v>
          </cell>
          <cell r="C237">
            <v>2400</v>
          </cell>
          <cell r="D237">
            <v>0</v>
          </cell>
          <cell r="E237">
            <v>0</v>
          </cell>
          <cell r="F237">
            <v>2400</v>
          </cell>
          <cell r="G237">
            <v>0</v>
          </cell>
          <cell r="H237">
            <v>0</v>
          </cell>
          <cell r="I237">
            <v>0</v>
          </cell>
          <cell r="J237">
            <v>0</v>
          </cell>
          <cell r="K237">
            <v>0</v>
          </cell>
          <cell r="L237">
            <v>0</v>
          </cell>
          <cell r="M237">
            <v>0</v>
          </cell>
          <cell r="N237">
            <v>0</v>
          </cell>
        </row>
        <row r="238">
          <cell r="A238" t="str">
            <v>9410</v>
          </cell>
          <cell r="B238" t="str">
            <v>011404990</v>
          </cell>
          <cell r="C238">
            <v>2400</v>
          </cell>
          <cell r="D238">
            <v>0</v>
          </cell>
          <cell r="E238">
            <v>0</v>
          </cell>
          <cell r="F238">
            <v>0</v>
          </cell>
          <cell r="G238">
            <v>0</v>
          </cell>
          <cell r="H238">
            <v>2400</v>
          </cell>
          <cell r="I238">
            <v>0</v>
          </cell>
          <cell r="J238">
            <v>0</v>
          </cell>
          <cell r="K238">
            <v>0</v>
          </cell>
          <cell r="L238">
            <v>0</v>
          </cell>
          <cell r="M238">
            <v>0</v>
          </cell>
          <cell r="N238">
            <v>0</v>
          </cell>
        </row>
        <row r="239">
          <cell r="A239" t="str">
            <v>9410</v>
          </cell>
          <cell r="B239" t="str">
            <v>011405001</v>
          </cell>
          <cell r="C239">
            <v>2400</v>
          </cell>
          <cell r="D239">
            <v>0</v>
          </cell>
          <cell r="E239">
            <v>0</v>
          </cell>
          <cell r="F239">
            <v>0</v>
          </cell>
          <cell r="G239">
            <v>0</v>
          </cell>
          <cell r="H239">
            <v>2400</v>
          </cell>
          <cell r="I239">
            <v>0</v>
          </cell>
          <cell r="J239">
            <v>0</v>
          </cell>
          <cell r="K239">
            <v>0</v>
          </cell>
          <cell r="L239">
            <v>0</v>
          </cell>
          <cell r="M239">
            <v>0</v>
          </cell>
          <cell r="N239">
            <v>0</v>
          </cell>
        </row>
        <row r="240">
          <cell r="A240" t="str">
            <v>9410</v>
          </cell>
          <cell r="B240" t="str">
            <v>011405161</v>
          </cell>
          <cell r="C240">
            <v>2400</v>
          </cell>
          <cell r="D240">
            <v>0</v>
          </cell>
          <cell r="E240">
            <v>0</v>
          </cell>
          <cell r="F240">
            <v>2400</v>
          </cell>
          <cell r="G240">
            <v>0</v>
          </cell>
          <cell r="H240">
            <v>0</v>
          </cell>
          <cell r="I240">
            <v>0</v>
          </cell>
          <cell r="J240">
            <v>0</v>
          </cell>
          <cell r="K240">
            <v>0</v>
          </cell>
          <cell r="L240">
            <v>0</v>
          </cell>
          <cell r="M240">
            <v>0</v>
          </cell>
          <cell r="N240">
            <v>0</v>
          </cell>
        </row>
        <row r="241">
          <cell r="A241" t="str">
            <v>9410</v>
          </cell>
          <cell r="B241" t="str">
            <v>013806460</v>
          </cell>
          <cell r="C241">
            <v>2400</v>
          </cell>
          <cell r="D241">
            <v>0</v>
          </cell>
          <cell r="E241">
            <v>0</v>
          </cell>
          <cell r="F241">
            <v>2400</v>
          </cell>
          <cell r="G241">
            <v>0</v>
          </cell>
          <cell r="H241">
            <v>0</v>
          </cell>
          <cell r="I241">
            <v>0</v>
          </cell>
          <cell r="J241">
            <v>0</v>
          </cell>
          <cell r="K241">
            <v>0</v>
          </cell>
          <cell r="L241">
            <v>0</v>
          </cell>
          <cell r="M241">
            <v>0</v>
          </cell>
          <cell r="N241">
            <v>0</v>
          </cell>
        </row>
        <row r="242">
          <cell r="A242" t="str">
            <v>9410</v>
          </cell>
          <cell r="B242" t="str">
            <v>013806701</v>
          </cell>
          <cell r="C242">
            <v>2400</v>
          </cell>
          <cell r="D242">
            <v>2400</v>
          </cell>
          <cell r="E242">
            <v>0</v>
          </cell>
          <cell r="F242">
            <v>2400</v>
          </cell>
          <cell r="G242">
            <v>0</v>
          </cell>
          <cell r="H242">
            <v>0</v>
          </cell>
          <cell r="I242">
            <v>0</v>
          </cell>
          <cell r="J242">
            <v>0</v>
          </cell>
          <cell r="K242">
            <v>2400</v>
          </cell>
          <cell r="L242">
            <v>0</v>
          </cell>
          <cell r="M242">
            <v>0</v>
          </cell>
          <cell r="N242">
            <v>0</v>
          </cell>
        </row>
        <row r="243">
          <cell r="A243" t="str">
            <v>9410</v>
          </cell>
          <cell r="B243" t="str">
            <v>013807051</v>
          </cell>
          <cell r="C243">
            <v>2400</v>
          </cell>
          <cell r="D243">
            <v>2400</v>
          </cell>
          <cell r="E243">
            <v>4800</v>
          </cell>
          <cell r="F243">
            <v>2400</v>
          </cell>
          <cell r="G243">
            <v>0</v>
          </cell>
          <cell r="H243">
            <v>0</v>
          </cell>
          <cell r="I243">
            <v>2400</v>
          </cell>
          <cell r="J243">
            <v>0</v>
          </cell>
          <cell r="K243">
            <v>0</v>
          </cell>
          <cell r="L243">
            <v>2400</v>
          </cell>
          <cell r="M243">
            <v>0</v>
          </cell>
          <cell r="N243">
            <v>2400</v>
          </cell>
        </row>
        <row r="244">
          <cell r="A244" t="str">
            <v>9410</v>
          </cell>
          <cell r="B244" t="str">
            <v>013807841</v>
          </cell>
          <cell r="C244">
            <v>2400</v>
          </cell>
          <cell r="D244">
            <v>0</v>
          </cell>
          <cell r="E244">
            <v>0</v>
          </cell>
          <cell r="F244">
            <v>2400</v>
          </cell>
          <cell r="G244">
            <v>0</v>
          </cell>
          <cell r="H244">
            <v>0</v>
          </cell>
          <cell r="I244">
            <v>0</v>
          </cell>
          <cell r="J244">
            <v>0</v>
          </cell>
          <cell r="K244">
            <v>0</v>
          </cell>
          <cell r="L244">
            <v>0</v>
          </cell>
          <cell r="M244">
            <v>0</v>
          </cell>
          <cell r="N244">
            <v>0</v>
          </cell>
        </row>
        <row r="245">
          <cell r="A245" t="str">
            <v>9410</v>
          </cell>
          <cell r="B245" t="str">
            <v>013807960</v>
          </cell>
          <cell r="C245">
            <v>2400</v>
          </cell>
          <cell r="D245">
            <v>0</v>
          </cell>
          <cell r="E245">
            <v>0</v>
          </cell>
          <cell r="F245">
            <v>2400</v>
          </cell>
          <cell r="G245">
            <v>0</v>
          </cell>
          <cell r="H245">
            <v>0</v>
          </cell>
          <cell r="I245">
            <v>0</v>
          </cell>
          <cell r="J245">
            <v>0</v>
          </cell>
          <cell r="K245">
            <v>0</v>
          </cell>
          <cell r="L245">
            <v>0</v>
          </cell>
          <cell r="M245">
            <v>0</v>
          </cell>
          <cell r="N245">
            <v>0</v>
          </cell>
        </row>
        <row r="246">
          <cell r="A246" t="str">
            <v>9410</v>
          </cell>
          <cell r="B246" t="str">
            <v>013808220</v>
          </cell>
          <cell r="C246">
            <v>2400</v>
          </cell>
          <cell r="D246">
            <v>9600</v>
          </cell>
          <cell r="E246">
            <v>9600</v>
          </cell>
          <cell r="F246">
            <v>2400</v>
          </cell>
          <cell r="G246">
            <v>0</v>
          </cell>
          <cell r="H246">
            <v>0</v>
          </cell>
          <cell r="I246">
            <v>0</v>
          </cell>
          <cell r="J246">
            <v>9600</v>
          </cell>
          <cell r="K246">
            <v>0</v>
          </cell>
          <cell r="L246">
            <v>0</v>
          </cell>
          <cell r="M246">
            <v>9600</v>
          </cell>
          <cell r="N246">
            <v>0</v>
          </cell>
        </row>
        <row r="247">
          <cell r="A247" t="str">
            <v>9410</v>
          </cell>
          <cell r="B247" t="str">
            <v>013808370</v>
          </cell>
          <cell r="C247">
            <v>2400</v>
          </cell>
          <cell r="D247">
            <v>0</v>
          </cell>
          <cell r="E247">
            <v>0</v>
          </cell>
          <cell r="F247">
            <v>2400</v>
          </cell>
          <cell r="G247">
            <v>0</v>
          </cell>
          <cell r="H247">
            <v>0</v>
          </cell>
          <cell r="I247">
            <v>0</v>
          </cell>
          <cell r="J247">
            <v>0</v>
          </cell>
          <cell r="K247">
            <v>0</v>
          </cell>
          <cell r="L247">
            <v>0</v>
          </cell>
          <cell r="M247">
            <v>0</v>
          </cell>
          <cell r="N247">
            <v>0</v>
          </cell>
        </row>
        <row r="248">
          <cell r="A248" t="str">
            <v>9410</v>
          </cell>
          <cell r="B248" t="str">
            <v>013808490</v>
          </cell>
          <cell r="C248">
            <v>2400</v>
          </cell>
          <cell r="D248">
            <v>0</v>
          </cell>
          <cell r="E248">
            <v>0</v>
          </cell>
          <cell r="F248">
            <v>2400</v>
          </cell>
          <cell r="G248">
            <v>0</v>
          </cell>
          <cell r="H248">
            <v>0</v>
          </cell>
          <cell r="I248">
            <v>0</v>
          </cell>
          <cell r="J248">
            <v>0</v>
          </cell>
          <cell r="K248">
            <v>0</v>
          </cell>
          <cell r="L248">
            <v>0</v>
          </cell>
          <cell r="M248">
            <v>0</v>
          </cell>
          <cell r="N248">
            <v>0</v>
          </cell>
        </row>
        <row r="249">
          <cell r="A249" t="str">
            <v>9410</v>
          </cell>
          <cell r="B249" t="str">
            <v>013808490</v>
          </cell>
          <cell r="C249">
            <v>2400</v>
          </cell>
          <cell r="D249">
            <v>0</v>
          </cell>
          <cell r="E249">
            <v>2400</v>
          </cell>
          <cell r="F249">
            <v>2400</v>
          </cell>
          <cell r="G249">
            <v>0</v>
          </cell>
          <cell r="H249">
            <v>0</v>
          </cell>
          <cell r="I249">
            <v>0</v>
          </cell>
          <cell r="J249">
            <v>0</v>
          </cell>
          <cell r="K249">
            <v>0</v>
          </cell>
          <cell r="L249">
            <v>2400</v>
          </cell>
          <cell r="M249">
            <v>0</v>
          </cell>
          <cell r="N249">
            <v>0</v>
          </cell>
        </row>
        <row r="250">
          <cell r="A250" t="str">
            <v>9410</v>
          </cell>
          <cell r="B250" t="str">
            <v>013808510</v>
          </cell>
          <cell r="C250">
            <v>2400</v>
          </cell>
          <cell r="D250">
            <v>0</v>
          </cell>
          <cell r="E250">
            <v>0</v>
          </cell>
          <cell r="F250">
            <v>2400</v>
          </cell>
          <cell r="G250">
            <v>0</v>
          </cell>
          <cell r="H250">
            <v>0</v>
          </cell>
          <cell r="I250">
            <v>0</v>
          </cell>
          <cell r="J250">
            <v>0</v>
          </cell>
          <cell r="K250">
            <v>0</v>
          </cell>
          <cell r="L250">
            <v>0</v>
          </cell>
          <cell r="M250">
            <v>0</v>
          </cell>
          <cell r="N250">
            <v>0</v>
          </cell>
        </row>
        <row r="251">
          <cell r="A251" t="str">
            <v>9410</v>
          </cell>
          <cell r="B251" t="str">
            <v>013808780</v>
          </cell>
          <cell r="C251">
            <v>2400</v>
          </cell>
          <cell r="D251">
            <v>0</v>
          </cell>
          <cell r="E251">
            <v>0</v>
          </cell>
          <cell r="F251">
            <v>2400</v>
          </cell>
          <cell r="G251">
            <v>0</v>
          </cell>
          <cell r="H251">
            <v>0</v>
          </cell>
          <cell r="I251">
            <v>0</v>
          </cell>
          <cell r="J251">
            <v>0</v>
          </cell>
          <cell r="K251">
            <v>0</v>
          </cell>
          <cell r="L251">
            <v>0</v>
          </cell>
          <cell r="M251">
            <v>0</v>
          </cell>
          <cell r="N251">
            <v>0</v>
          </cell>
        </row>
        <row r="252">
          <cell r="A252" t="str">
            <v>9410</v>
          </cell>
          <cell r="B252" t="str">
            <v>013808780</v>
          </cell>
          <cell r="C252">
            <v>2400</v>
          </cell>
          <cell r="D252">
            <v>4800</v>
          </cell>
          <cell r="E252">
            <v>7200</v>
          </cell>
          <cell r="F252">
            <v>2400</v>
          </cell>
          <cell r="G252">
            <v>0</v>
          </cell>
          <cell r="H252">
            <v>0</v>
          </cell>
          <cell r="I252">
            <v>4800</v>
          </cell>
          <cell r="J252">
            <v>0</v>
          </cell>
          <cell r="K252">
            <v>0</v>
          </cell>
          <cell r="L252">
            <v>4800</v>
          </cell>
          <cell r="M252">
            <v>2400</v>
          </cell>
          <cell r="N252">
            <v>0</v>
          </cell>
        </row>
        <row r="253">
          <cell r="A253" t="str">
            <v>9410</v>
          </cell>
          <cell r="B253" t="str">
            <v>013808790</v>
          </cell>
          <cell r="C253">
            <v>2400</v>
          </cell>
          <cell r="D253">
            <v>4800</v>
          </cell>
          <cell r="E253">
            <v>2400</v>
          </cell>
          <cell r="F253">
            <v>2400</v>
          </cell>
          <cell r="G253">
            <v>0</v>
          </cell>
          <cell r="H253">
            <v>0</v>
          </cell>
          <cell r="I253">
            <v>2400</v>
          </cell>
          <cell r="J253">
            <v>0</v>
          </cell>
          <cell r="K253">
            <v>2400</v>
          </cell>
          <cell r="L253">
            <v>2400</v>
          </cell>
          <cell r="M253">
            <v>0</v>
          </cell>
          <cell r="N253">
            <v>0</v>
          </cell>
        </row>
        <row r="254">
          <cell r="A254" t="str">
            <v>9410</v>
          </cell>
          <cell r="B254" t="str">
            <v>013809020</v>
          </cell>
          <cell r="C254">
            <v>2400</v>
          </cell>
          <cell r="D254">
            <v>0</v>
          </cell>
          <cell r="E254">
            <v>0</v>
          </cell>
          <cell r="F254">
            <v>2400</v>
          </cell>
          <cell r="G254">
            <v>0</v>
          </cell>
          <cell r="H254">
            <v>0</v>
          </cell>
          <cell r="I254">
            <v>0</v>
          </cell>
          <cell r="J254">
            <v>0</v>
          </cell>
          <cell r="K254">
            <v>0</v>
          </cell>
          <cell r="L254">
            <v>0</v>
          </cell>
          <cell r="M254">
            <v>0</v>
          </cell>
          <cell r="N254">
            <v>0</v>
          </cell>
        </row>
        <row r="255">
          <cell r="A255" t="str">
            <v>9410</v>
          </cell>
          <cell r="B255" t="str">
            <v>013809040</v>
          </cell>
          <cell r="C255">
            <v>2400</v>
          </cell>
          <cell r="D255">
            <v>2400</v>
          </cell>
          <cell r="E255">
            <v>0</v>
          </cell>
          <cell r="F255">
            <v>0</v>
          </cell>
          <cell r="G255">
            <v>0</v>
          </cell>
          <cell r="H255">
            <v>2400</v>
          </cell>
          <cell r="I255">
            <v>0</v>
          </cell>
          <cell r="J255">
            <v>0</v>
          </cell>
          <cell r="K255">
            <v>2400</v>
          </cell>
          <cell r="L255">
            <v>0</v>
          </cell>
          <cell r="M255">
            <v>0</v>
          </cell>
          <cell r="N255">
            <v>0</v>
          </cell>
        </row>
        <row r="256">
          <cell r="A256" t="str">
            <v>9410</v>
          </cell>
          <cell r="B256" t="str">
            <v>013809050</v>
          </cell>
          <cell r="C256">
            <v>2400</v>
          </cell>
          <cell r="D256">
            <v>0</v>
          </cell>
          <cell r="E256">
            <v>0</v>
          </cell>
          <cell r="F256">
            <v>0</v>
          </cell>
          <cell r="G256">
            <v>0</v>
          </cell>
          <cell r="H256">
            <v>2400</v>
          </cell>
          <cell r="I256">
            <v>0</v>
          </cell>
          <cell r="J256">
            <v>0</v>
          </cell>
          <cell r="K256">
            <v>0</v>
          </cell>
          <cell r="L256">
            <v>0</v>
          </cell>
          <cell r="M256">
            <v>0</v>
          </cell>
          <cell r="N256">
            <v>0</v>
          </cell>
        </row>
        <row r="257">
          <cell r="A257" t="str">
            <v>9410</v>
          </cell>
          <cell r="B257" t="str">
            <v>013809070</v>
          </cell>
          <cell r="C257">
            <v>2400</v>
          </cell>
          <cell r="D257">
            <v>2400</v>
          </cell>
          <cell r="E257">
            <v>0</v>
          </cell>
          <cell r="F257">
            <v>2400</v>
          </cell>
          <cell r="G257">
            <v>0</v>
          </cell>
          <cell r="H257">
            <v>0</v>
          </cell>
          <cell r="I257">
            <v>0</v>
          </cell>
          <cell r="J257">
            <v>0</v>
          </cell>
          <cell r="K257">
            <v>2400</v>
          </cell>
          <cell r="L257">
            <v>0</v>
          </cell>
          <cell r="M257">
            <v>0</v>
          </cell>
          <cell r="N257">
            <v>0</v>
          </cell>
        </row>
        <row r="258">
          <cell r="A258" t="str">
            <v>9410</v>
          </cell>
          <cell r="B258" t="str">
            <v>013809200</v>
          </cell>
          <cell r="C258">
            <v>2400</v>
          </cell>
          <cell r="D258">
            <v>0</v>
          </cell>
          <cell r="E258">
            <v>0</v>
          </cell>
          <cell r="F258">
            <v>2400</v>
          </cell>
          <cell r="G258">
            <v>0</v>
          </cell>
          <cell r="H258">
            <v>0</v>
          </cell>
          <cell r="I258">
            <v>0</v>
          </cell>
          <cell r="J258">
            <v>0</v>
          </cell>
          <cell r="K258">
            <v>0</v>
          </cell>
          <cell r="L258">
            <v>0</v>
          </cell>
          <cell r="M258">
            <v>0</v>
          </cell>
          <cell r="N258">
            <v>0</v>
          </cell>
        </row>
        <row r="259">
          <cell r="A259" t="str">
            <v>9410</v>
          </cell>
          <cell r="B259" t="str">
            <v>013809210</v>
          </cell>
          <cell r="C259">
            <v>2400</v>
          </cell>
          <cell r="D259">
            <v>2400</v>
          </cell>
          <cell r="E259">
            <v>0</v>
          </cell>
          <cell r="F259">
            <v>2400</v>
          </cell>
          <cell r="G259">
            <v>0</v>
          </cell>
          <cell r="H259">
            <v>0</v>
          </cell>
          <cell r="I259">
            <v>2400</v>
          </cell>
          <cell r="J259">
            <v>0</v>
          </cell>
          <cell r="K259">
            <v>0</v>
          </cell>
          <cell r="L259">
            <v>0</v>
          </cell>
          <cell r="M259">
            <v>0</v>
          </cell>
          <cell r="N259">
            <v>0</v>
          </cell>
        </row>
        <row r="260">
          <cell r="A260" t="str">
            <v>9410</v>
          </cell>
          <cell r="B260" t="str">
            <v>014702892</v>
          </cell>
          <cell r="C260">
            <v>2400</v>
          </cell>
          <cell r="D260">
            <v>0</v>
          </cell>
          <cell r="E260">
            <v>0</v>
          </cell>
          <cell r="F260">
            <v>2400</v>
          </cell>
          <cell r="G260">
            <v>0</v>
          </cell>
          <cell r="H260">
            <v>0</v>
          </cell>
          <cell r="I260">
            <v>0</v>
          </cell>
          <cell r="J260">
            <v>0</v>
          </cell>
          <cell r="K260">
            <v>0</v>
          </cell>
          <cell r="L260">
            <v>0</v>
          </cell>
          <cell r="M260">
            <v>0</v>
          </cell>
          <cell r="N260">
            <v>0</v>
          </cell>
        </row>
        <row r="261">
          <cell r="A261" t="str">
            <v>9410</v>
          </cell>
          <cell r="B261" t="str">
            <v>014703090</v>
          </cell>
          <cell r="C261">
            <v>2400</v>
          </cell>
          <cell r="D261">
            <v>0</v>
          </cell>
          <cell r="E261">
            <v>0</v>
          </cell>
          <cell r="F261">
            <v>2400</v>
          </cell>
          <cell r="G261">
            <v>0</v>
          </cell>
          <cell r="H261">
            <v>0</v>
          </cell>
          <cell r="I261">
            <v>0</v>
          </cell>
          <cell r="J261">
            <v>0</v>
          </cell>
          <cell r="K261">
            <v>0</v>
          </cell>
          <cell r="L261">
            <v>0</v>
          </cell>
          <cell r="M261">
            <v>0</v>
          </cell>
          <cell r="N261">
            <v>0</v>
          </cell>
        </row>
        <row r="262">
          <cell r="A262" t="str">
            <v>9410</v>
          </cell>
          <cell r="B262" t="str">
            <v>014703100</v>
          </cell>
          <cell r="C262">
            <v>2400</v>
          </cell>
          <cell r="D262">
            <v>0</v>
          </cell>
          <cell r="E262">
            <v>0</v>
          </cell>
          <cell r="F262">
            <v>2400</v>
          </cell>
          <cell r="G262">
            <v>0</v>
          </cell>
          <cell r="H262">
            <v>0</v>
          </cell>
          <cell r="I262">
            <v>0</v>
          </cell>
          <cell r="J262">
            <v>0</v>
          </cell>
          <cell r="K262">
            <v>0</v>
          </cell>
          <cell r="L262">
            <v>0</v>
          </cell>
          <cell r="M262">
            <v>0</v>
          </cell>
          <cell r="N262">
            <v>0</v>
          </cell>
        </row>
        <row r="263">
          <cell r="A263" t="str">
            <v>9410</v>
          </cell>
          <cell r="B263" t="str">
            <v>015201491</v>
          </cell>
          <cell r="C263">
            <v>2400</v>
          </cell>
          <cell r="D263">
            <v>2400</v>
          </cell>
          <cell r="E263">
            <v>0</v>
          </cell>
          <cell r="F263">
            <v>2400</v>
          </cell>
          <cell r="G263">
            <v>0</v>
          </cell>
          <cell r="H263">
            <v>0</v>
          </cell>
          <cell r="I263">
            <v>0</v>
          </cell>
          <cell r="J263">
            <v>0</v>
          </cell>
          <cell r="K263">
            <v>2400</v>
          </cell>
          <cell r="L263">
            <v>0</v>
          </cell>
          <cell r="M263">
            <v>0</v>
          </cell>
          <cell r="N263">
            <v>0</v>
          </cell>
        </row>
        <row r="264">
          <cell r="A264" t="str">
            <v>9410</v>
          </cell>
          <cell r="B264" t="str">
            <v>015201691</v>
          </cell>
          <cell r="C264">
            <v>2400</v>
          </cell>
          <cell r="D264">
            <v>0</v>
          </cell>
          <cell r="E264">
            <v>0</v>
          </cell>
          <cell r="F264">
            <v>0</v>
          </cell>
          <cell r="G264">
            <v>0</v>
          </cell>
          <cell r="H264">
            <v>2400</v>
          </cell>
          <cell r="I264">
            <v>0</v>
          </cell>
          <cell r="J264">
            <v>0</v>
          </cell>
          <cell r="K264">
            <v>0</v>
          </cell>
          <cell r="L264">
            <v>0</v>
          </cell>
          <cell r="M264">
            <v>0</v>
          </cell>
          <cell r="N264">
            <v>0</v>
          </cell>
        </row>
        <row r="265">
          <cell r="A265" t="str">
            <v>9410</v>
          </cell>
          <cell r="B265" t="str">
            <v>015202570</v>
          </cell>
          <cell r="C265">
            <v>2400</v>
          </cell>
          <cell r="D265">
            <v>0</v>
          </cell>
          <cell r="E265">
            <v>2400</v>
          </cell>
          <cell r="F265">
            <v>2400</v>
          </cell>
          <cell r="G265">
            <v>0</v>
          </cell>
          <cell r="H265">
            <v>0</v>
          </cell>
          <cell r="I265">
            <v>0</v>
          </cell>
          <cell r="J265">
            <v>0</v>
          </cell>
          <cell r="K265">
            <v>0</v>
          </cell>
          <cell r="L265">
            <v>2400</v>
          </cell>
          <cell r="M265">
            <v>0</v>
          </cell>
          <cell r="N265">
            <v>0</v>
          </cell>
        </row>
        <row r="266">
          <cell r="A266" t="str">
            <v>9410</v>
          </cell>
          <cell r="B266" t="str">
            <v>015400581</v>
          </cell>
          <cell r="C266">
            <v>2400</v>
          </cell>
          <cell r="D266">
            <v>0</v>
          </cell>
          <cell r="E266">
            <v>2400</v>
          </cell>
          <cell r="F266">
            <v>0</v>
          </cell>
          <cell r="G266">
            <v>0</v>
          </cell>
          <cell r="H266">
            <v>2400</v>
          </cell>
          <cell r="I266">
            <v>0</v>
          </cell>
          <cell r="J266">
            <v>0</v>
          </cell>
          <cell r="K266">
            <v>0</v>
          </cell>
          <cell r="L266">
            <v>2400</v>
          </cell>
          <cell r="M266">
            <v>0</v>
          </cell>
          <cell r="N266">
            <v>0</v>
          </cell>
        </row>
        <row r="267">
          <cell r="A267" t="str">
            <v>9410</v>
          </cell>
          <cell r="B267" t="str">
            <v>015500612</v>
          </cell>
          <cell r="C267">
            <v>2400</v>
          </cell>
          <cell r="D267">
            <v>0</v>
          </cell>
          <cell r="E267">
            <v>0</v>
          </cell>
          <cell r="F267">
            <v>0</v>
          </cell>
          <cell r="G267">
            <v>0</v>
          </cell>
          <cell r="H267">
            <v>2400</v>
          </cell>
          <cell r="I267">
            <v>0</v>
          </cell>
          <cell r="J267">
            <v>0</v>
          </cell>
          <cell r="K267">
            <v>0</v>
          </cell>
          <cell r="L267">
            <v>0</v>
          </cell>
          <cell r="M267">
            <v>0</v>
          </cell>
          <cell r="N267">
            <v>0</v>
          </cell>
        </row>
        <row r="268">
          <cell r="A268" t="str">
            <v>9410</v>
          </cell>
          <cell r="B268" t="str">
            <v>015500671</v>
          </cell>
          <cell r="C268">
            <v>2400</v>
          </cell>
          <cell r="D268">
            <v>2400</v>
          </cell>
          <cell r="E268">
            <v>2400</v>
          </cell>
          <cell r="F268">
            <v>2400</v>
          </cell>
          <cell r="G268">
            <v>0</v>
          </cell>
          <cell r="H268">
            <v>0</v>
          </cell>
          <cell r="I268">
            <v>0</v>
          </cell>
          <cell r="J268">
            <v>2400</v>
          </cell>
          <cell r="K268">
            <v>0</v>
          </cell>
          <cell r="L268">
            <v>2400</v>
          </cell>
          <cell r="M268">
            <v>0</v>
          </cell>
          <cell r="N268">
            <v>0</v>
          </cell>
        </row>
        <row r="269">
          <cell r="A269" t="str">
            <v>9410</v>
          </cell>
          <cell r="B269" t="str">
            <v>015500961</v>
          </cell>
          <cell r="C269">
            <v>2400</v>
          </cell>
          <cell r="D269">
            <v>0</v>
          </cell>
          <cell r="E269">
            <v>0</v>
          </cell>
          <cell r="F269">
            <v>0</v>
          </cell>
          <cell r="G269">
            <v>0</v>
          </cell>
          <cell r="H269">
            <v>2400</v>
          </cell>
          <cell r="I269">
            <v>0</v>
          </cell>
          <cell r="J269">
            <v>0</v>
          </cell>
          <cell r="K269">
            <v>0</v>
          </cell>
          <cell r="L269">
            <v>0</v>
          </cell>
          <cell r="M269">
            <v>0</v>
          </cell>
          <cell r="N269">
            <v>0</v>
          </cell>
        </row>
        <row r="270">
          <cell r="A270" t="str">
            <v>9410</v>
          </cell>
          <cell r="B270" t="str">
            <v>015501482</v>
          </cell>
          <cell r="C270">
            <v>2400</v>
          </cell>
          <cell r="D270">
            <v>2400</v>
          </cell>
          <cell r="E270">
            <v>0</v>
          </cell>
          <cell r="F270">
            <v>2400</v>
          </cell>
          <cell r="G270">
            <v>0</v>
          </cell>
          <cell r="H270">
            <v>0</v>
          </cell>
          <cell r="I270">
            <v>0</v>
          </cell>
          <cell r="J270">
            <v>0</v>
          </cell>
          <cell r="K270">
            <v>2400</v>
          </cell>
          <cell r="L270">
            <v>0</v>
          </cell>
          <cell r="M270">
            <v>0</v>
          </cell>
          <cell r="N270">
            <v>0</v>
          </cell>
        </row>
        <row r="271">
          <cell r="A271" t="str">
            <v>9410</v>
          </cell>
          <cell r="B271" t="str">
            <v>015502201</v>
          </cell>
          <cell r="C271">
            <v>2400</v>
          </cell>
          <cell r="D271">
            <v>0</v>
          </cell>
          <cell r="E271">
            <v>0</v>
          </cell>
          <cell r="F271">
            <v>0</v>
          </cell>
          <cell r="G271">
            <v>0</v>
          </cell>
          <cell r="H271">
            <v>2400</v>
          </cell>
          <cell r="I271">
            <v>0</v>
          </cell>
          <cell r="J271">
            <v>0</v>
          </cell>
          <cell r="K271">
            <v>0</v>
          </cell>
          <cell r="L271">
            <v>0</v>
          </cell>
          <cell r="M271">
            <v>0</v>
          </cell>
          <cell r="N271">
            <v>0</v>
          </cell>
        </row>
        <row r="272">
          <cell r="A272" t="str">
            <v>9410</v>
          </cell>
          <cell r="B272" t="str">
            <v>015502281</v>
          </cell>
          <cell r="C272">
            <v>2400</v>
          </cell>
          <cell r="D272">
            <v>12000</v>
          </cell>
          <cell r="E272">
            <v>12000</v>
          </cell>
          <cell r="F272">
            <v>2400</v>
          </cell>
          <cell r="G272">
            <v>0</v>
          </cell>
          <cell r="H272">
            <v>0</v>
          </cell>
          <cell r="I272">
            <v>0</v>
          </cell>
          <cell r="J272">
            <v>0</v>
          </cell>
          <cell r="K272">
            <v>12000</v>
          </cell>
          <cell r="L272">
            <v>12000</v>
          </cell>
          <cell r="M272">
            <v>0</v>
          </cell>
          <cell r="N272">
            <v>0</v>
          </cell>
        </row>
        <row r="273">
          <cell r="A273" t="str">
            <v>9410</v>
          </cell>
          <cell r="B273" t="str">
            <v>015502293</v>
          </cell>
          <cell r="C273">
            <v>2400</v>
          </cell>
          <cell r="D273">
            <v>12000</v>
          </cell>
          <cell r="E273">
            <v>12000</v>
          </cell>
          <cell r="F273">
            <v>2400</v>
          </cell>
          <cell r="G273">
            <v>0</v>
          </cell>
          <cell r="H273">
            <v>0</v>
          </cell>
          <cell r="I273">
            <v>0</v>
          </cell>
          <cell r="J273">
            <v>0</v>
          </cell>
          <cell r="K273">
            <v>12000</v>
          </cell>
          <cell r="L273">
            <v>12000</v>
          </cell>
          <cell r="M273">
            <v>0</v>
          </cell>
          <cell r="N273">
            <v>0</v>
          </cell>
        </row>
        <row r="274">
          <cell r="A274" t="str">
            <v>9410</v>
          </cell>
          <cell r="B274" t="str">
            <v>015502311</v>
          </cell>
          <cell r="C274">
            <v>2400</v>
          </cell>
          <cell r="D274">
            <v>2400</v>
          </cell>
          <cell r="E274">
            <v>0</v>
          </cell>
          <cell r="F274">
            <v>2400</v>
          </cell>
          <cell r="G274">
            <v>0</v>
          </cell>
          <cell r="H274">
            <v>0</v>
          </cell>
          <cell r="I274">
            <v>0</v>
          </cell>
          <cell r="J274">
            <v>0</v>
          </cell>
          <cell r="K274">
            <v>2400</v>
          </cell>
          <cell r="L274">
            <v>0</v>
          </cell>
          <cell r="M274">
            <v>0</v>
          </cell>
          <cell r="N274">
            <v>0</v>
          </cell>
        </row>
        <row r="275">
          <cell r="A275" t="str">
            <v>9410</v>
          </cell>
          <cell r="B275" t="str">
            <v>015502341</v>
          </cell>
          <cell r="C275">
            <v>2400</v>
          </cell>
          <cell r="D275">
            <v>2400</v>
          </cell>
          <cell r="E275">
            <v>0</v>
          </cell>
          <cell r="F275">
            <v>2400</v>
          </cell>
          <cell r="G275">
            <v>0</v>
          </cell>
          <cell r="H275">
            <v>0</v>
          </cell>
          <cell r="I275">
            <v>0</v>
          </cell>
          <cell r="J275">
            <v>0</v>
          </cell>
          <cell r="K275">
            <v>2400</v>
          </cell>
          <cell r="L275">
            <v>0</v>
          </cell>
          <cell r="M275">
            <v>0</v>
          </cell>
          <cell r="N275">
            <v>0</v>
          </cell>
        </row>
        <row r="276">
          <cell r="A276" t="str">
            <v>9410</v>
          </cell>
          <cell r="B276" t="str">
            <v>015502351</v>
          </cell>
          <cell r="C276">
            <v>2400</v>
          </cell>
          <cell r="D276">
            <v>2400</v>
          </cell>
          <cell r="E276">
            <v>0</v>
          </cell>
          <cell r="F276">
            <v>2400</v>
          </cell>
          <cell r="G276">
            <v>0</v>
          </cell>
          <cell r="H276">
            <v>0</v>
          </cell>
          <cell r="I276">
            <v>0</v>
          </cell>
          <cell r="J276">
            <v>0</v>
          </cell>
          <cell r="K276">
            <v>2400</v>
          </cell>
          <cell r="L276">
            <v>0</v>
          </cell>
          <cell r="M276">
            <v>0</v>
          </cell>
          <cell r="N276">
            <v>0</v>
          </cell>
        </row>
        <row r="277">
          <cell r="A277" t="str">
            <v>9410</v>
          </cell>
          <cell r="B277" t="str">
            <v>015502472</v>
          </cell>
          <cell r="C277">
            <v>2400</v>
          </cell>
          <cell r="D277">
            <v>0</v>
          </cell>
          <cell r="E277">
            <v>2400</v>
          </cell>
          <cell r="F277">
            <v>2400</v>
          </cell>
          <cell r="G277">
            <v>0</v>
          </cell>
          <cell r="H277">
            <v>0</v>
          </cell>
          <cell r="I277">
            <v>0</v>
          </cell>
          <cell r="J277">
            <v>0</v>
          </cell>
          <cell r="K277">
            <v>0</v>
          </cell>
          <cell r="L277">
            <v>2400</v>
          </cell>
          <cell r="M277">
            <v>0</v>
          </cell>
          <cell r="N277">
            <v>0</v>
          </cell>
        </row>
        <row r="278">
          <cell r="A278" t="str">
            <v>9410</v>
          </cell>
          <cell r="B278" t="str">
            <v>015502603</v>
          </cell>
          <cell r="C278">
            <v>2400</v>
          </cell>
          <cell r="D278">
            <v>7200</v>
          </cell>
          <cell r="E278">
            <v>9600</v>
          </cell>
          <cell r="F278">
            <v>0</v>
          </cell>
          <cell r="G278">
            <v>0</v>
          </cell>
          <cell r="H278">
            <v>2400</v>
          </cell>
          <cell r="I278">
            <v>0</v>
          </cell>
          <cell r="J278">
            <v>0</v>
          </cell>
          <cell r="K278">
            <v>7200</v>
          </cell>
          <cell r="L278">
            <v>9600</v>
          </cell>
          <cell r="M278">
            <v>0</v>
          </cell>
          <cell r="N278">
            <v>0</v>
          </cell>
        </row>
        <row r="279">
          <cell r="A279" t="str">
            <v>9410</v>
          </cell>
          <cell r="B279" t="str">
            <v>015502621</v>
          </cell>
          <cell r="C279">
            <v>2400</v>
          </cell>
          <cell r="D279">
            <v>0</v>
          </cell>
          <cell r="E279">
            <v>0</v>
          </cell>
          <cell r="F279">
            <v>0</v>
          </cell>
          <cell r="G279">
            <v>0</v>
          </cell>
          <cell r="H279">
            <v>2400</v>
          </cell>
          <cell r="I279">
            <v>0</v>
          </cell>
          <cell r="J279">
            <v>0</v>
          </cell>
          <cell r="K279">
            <v>0</v>
          </cell>
          <cell r="L279">
            <v>0</v>
          </cell>
          <cell r="M279">
            <v>0</v>
          </cell>
          <cell r="N279">
            <v>0</v>
          </cell>
        </row>
        <row r="280">
          <cell r="A280" t="str">
            <v>9410</v>
          </cell>
          <cell r="B280" t="str">
            <v>015502630</v>
          </cell>
          <cell r="C280">
            <v>2400</v>
          </cell>
          <cell r="D280">
            <v>12000</v>
          </cell>
          <cell r="E280">
            <v>0</v>
          </cell>
          <cell r="F280">
            <v>2400</v>
          </cell>
          <cell r="G280">
            <v>0</v>
          </cell>
          <cell r="H280">
            <v>0</v>
          </cell>
          <cell r="I280">
            <v>2400</v>
          </cell>
          <cell r="J280">
            <v>0</v>
          </cell>
          <cell r="K280">
            <v>9600</v>
          </cell>
          <cell r="L280">
            <v>0</v>
          </cell>
          <cell r="M280">
            <v>0</v>
          </cell>
          <cell r="N280">
            <v>0</v>
          </cell>
        </row>
        <row r="281">
          <cell r="A281" t="str">
            <v>9410</v>
          </cell>
          <cell r="B281" t="str">
            <v>015502741</v>
          </cell>
          <cell r="C281">
            <v>2400</v>
          </cell>
          <cell r="D281">
            <v>0</v>
          </cell>
          <cell r="E281">
            <v>0</v>
          </cell>
          <cell r="F281">
            <v>0</v>
          </cell>
          <cell r="G281">
            <v>0</v>
          </cell>
          <cell r="H281">
            <v>2400</v>
          </cell>
          <cell r="I281">
            <v>0</v>
          </cell>
          <cell r="J281">
            <v>0</v>
          </cell>
          <cell r="K281">
            <v>0</v>
          </cell>
          <cell r="L281">
            <v>0</v>
          </cell>
          <cell r="M281">
            <v>0</v>
          </cell>
          <cell r="N281">
            <v>0</v>
          </cell>
        </row>
        <row r="282">
          <cell r="A282" t="str">
            <v>9410</v>
          </cell>
          <cell r="B282" t="str">
            <v>015502751</v>
          </cell>
          <cell r="C282">
            <v>2400</v>
          </cell>
          <cell r="D282">
            <v>1200</v>
          </cell>
          <cell r="E282">
            <v>0</v>
          </cell>
          <cell r="F282">
            <v>0</v>
          </cell>
          <cell r="G282">
            <v>0</v>
          </cell>
          <cell r="H282">
            <v>2400</v>
          </cell>
          <cell r="I282">
            <v>1200</v>
          </cell>
          <cell r="J282">
            <v>0</v>
          </cell>
          <cell r="K282">
            <v>0</v>
          </cell>
          <cell r="L282">
            <v>0</v>
          </cell>
          <cell r="M282">
            <v>0</v>
          </cell>
          <cell r="N282">
            <v>0</v>
          </cell>
        </row>
        <row r="283">
          <cell r="A283" t="str">
            <v>9410</v>
          </cell>
          <cell r="B283" t="str">
            <v>015502970</v>
          </cell>
          <cell r="C283">
            <v>2400</v>
          </cell>
          <cell r="D283">
            <v>0</v>
          </cell>
          <cell r="E283">
            <v>0</v>
          </cell>
          <cell r="F283">
            <v>0</v>
          </cell>
          <cell r="G283">
            <v>0</v>
          </cell>
          <cell r="H283">
            <v>2400</v>
          </cell>
          <cell r="I283">
            <v>0</v>
          </cell>
          <cell r="J283">
            <v>0</v>
          </cell>
          <cell r="K283">
            <v>0</v>
          </cell>
          <cell r="L283">
            <v>0</v>
          </cell>
          <cell r="M283">
            <v>0</v>
          </cell>
          <cell r="N283">
            <v>0</v>
          </cell>
        </row>
        <row r="284">
          <cell r="A284" t="str">
            <v>9410</v>
          </cell>
          <cell r="B284" t="str">
            <v>015503010</v>
          </cell>
          <cell r="C284">
            <v>2400</v>
          </cell>
          <cell r="D284">
            <v>0</v>
          </cell>
          <cell r="E284">
            <v>0</v>
          </cell>
          <cell r="F284">
            <v>2400</v>
          </cell>
          <cell r="G284">
            <v>0</v>
          </cell>
          <cell r="H284">
            <v>0</v>
          </cell>
          <cell r="I284">
            <v>0</v>
          </cell>
          <cell r="J284">
            <v>0</v>
          </cell>
          <cell r="K284">
            <v>0</v>
          </cell>
          <cell r="L284">
            <v>0</v>
          </cell>
          <cell r="M284">
            <v>0</v>
          </cell>
          <cell r="N284">
            <v>0</v>
          </cell>
        </row>
        <row r="285">
          <cell r="A285" t="str">
            <v>9420</v>
          </cell>
          <cell r="B285" t="str">
            <v>014800602</v>
          </cell>
          <cell r="C285">
            <v>2400</v>
          </cell>
          <cell r="D285">
            <v>0</v>
          </cell>
          <cell r="E285">
            <v>0</v>
          </cell>
          <cell r="F285">
            <v>2400</v>
          </cell>
          <cell r="G285">
            <v>0</v>
          </cell>
          <cell r="H285">
            <v>0</v>
          </cell>
          <cell r="I285">
            <v>0</v>
          </cell>
          <cell r="J285">
            <v>0</v>
          </cell>
          <cell r="K285">
            <v>0</v>
          </cell>
          <cell r="L285">
            <v>0</v>
          </cell>
          <cell r="M285">
            <v>0</v>
          </cell>
          <cell r="N285">
            <v>0</v>
          </cell>
        </row>
        <row r="286">
          <cell r="A286" t="str">
            <v>5100</v>
          </cell>
          <cell r="B286" t="str">
            <v>010901760</v>
          </cell>
          <cell r="C286">
            <v>2000</v>
          </cell>
          <cell r="D286">
            <v>2000</v>
          </cell>
          <cell r="E286">
            <v>0</v>
          </cell>
          <cell r="F286">
            <v>0</v>
          </cell>
          <cell r="G286">
            <v>2000</v>
          </cell>
          <cell r="H286">
            <v>0</v>
          </cell>
          <cell r="I286">
            <v>0</v>
          </cell>
          <cell r="J286">
            <v>0</v>
          </cell>
          <cell r="K286">
            <v>2000</v>
          </cell>
          <cell r="L286">
            <v>0</v>
          </cell>
          <cell r="M286">
            <v>0</v>
          </cell>
          <cell r="N286">
            <v>0</v>
          </cell>
        </row>
        <row r="287">
          <cell r="A287" t="str">
            <v>5100</v>
          </cell>
          <cell r="B287" t="str">
            <v>011403302</v>
          </cell>
          <cell r="C287">
            <v>2000</v>
          </cell>
          <cell r="D287">
            <v>4000</v>
          </cell>
          <cell r="E287">
            <v>4000</v>
          </cell>
          <cell r="F287">
            <v>2000</v>
          </cell>
          <cell r="G287">
            <v>0</v>
          </cell>
          <cell r="H287">
            <v>0</v>
          </cell>
          <cell r="I287">
            <v>2000</v>
          </cell>
          <cell r="J287">
            <v>0</v>
          </cell>
          <cell r="K287">
            <v>2000</v>
          </cell>
          <cell r="L287">
            <v>2000</v>
          </cell>
          <cell r="M287">
            <v>0</v>
          </cell>
          <cell r="N287">
            <v>2000</v>
          </cell>
        </row>
        <row r="288">
          <cell r="A288" t="str">
            <v>5100</v>
          </cell>
          <cell r="B288" t="str">
            <v>011404652</v>
          </cell>
          <cell r="C288">
            <v>2000</v>
          </cell>
          <cell r="D288">
            <v>4000</v>
          </cell>
          <cell r="E288">
            <v>4000</v>
          </cell>
          <cell r="F288">
            <v>0</v>
          </cell>
          <cell r="G288">
            <v>2000</v>
          </cell>
          <cell r="H288">
            <v>0</v>
          </cell>
          <cell r="I288">
            <v>2000</v>
          </cell>
          <cell r="J288">
            <v>0</v>
          </cell>
          <cell r="K288">
            <v>2000</v>
          </cell>
          <cell r="L288">
            <v>0</v>
          </cell>
          <cell r="M288">
            <v>2000</v>
          </cell>
          <cell r="N288">
            <v>2000</v>
          </cell>
        </row>
        <row r="289">
          <cell r="A289" t="str">
            <v>5100</v>
          </cell>
          <cell r="B289" t="str">
            <v>011404862</v>
          </cell>
          <cell r="C289">
            <v>2000</v>
          </cell>
          <cell r="D289">
            <v>2000</v>
          </cell>
          <cell r="E289">
            <v>2000</v>
          </cell>
          <cell r="F289">
            <v>0</v>
          </cell>
          <cell r="G289">
            <v>0</v>
          </cell>
          <cell r="H289">
            <v>2000</v>
          </cell>
          <cell r="I289">
            <v>0</v>
          </cell>
          <cell r="J289">
            <v>0</v>
          </cell>
          <cell r="K289">
            <v>2000</v>
          </cell>
          <cell r="L289">
            <v>0</v>
          </cell>
          <cell r="M289">
            <v>0</v>
          </cell>
          <cell r="N289">
            <v>2000</v>
          </cell>
        </row>
        <row r="290">
          <cell r="A290" t="str">
            <v>5100</v>
          </cell>
          <cell r="B290" t="str">
            <v>011404881</v>
          </cell>
          <cell r="C290">
            <v>2000</v>
          </cell>
          <cell r="D290">
            <v>2000</v>
          </cell>
          <cell r="E290">
            <v>2000</v>
          </cell>
          <cell r="F290">
            <v>0</v>
          </cell>
          <cell r="G290">
            <v>2000</v>
          </cell>
          <cell r="H290">
            <v>0</v>
          </cell>
          <cell r="I290">
            <v>0</v>
          </cell>
          <cell r="J290">
            <v>0</v>
          </cell>
          <cell r="K290">
            <v>2000</v>
          </cell>
          <cell r="L290">
            <v>0</v>
          </cell>
          <cell r="M290">
            <v>0</v>
          </cell>
          <cell r="N290">
            <v>2000</v>
          </cell>
        </row>
        <row r="291">
          <cell r="A291" t="str">
            <v>5100</v>
          </cell>
          <cell r="B291" t="str">
            <v>011404891</v>
          </cell>
          <cell r="C291">
            <v>2000</v>
          </cell>
          <cell r="D291">
            <v>0</v>
          </cell>
          <cell r="E291">
            <v>0</v>
          </cell>
          <cell r="F291">
            <v>0</v>
          </cell>
          <cell r="G291">
            <v>0</v>
          </cell>
          <cell r="H291">
            <v>2000</v>
          </cell>
          <cell r="I291">
            <v>0</v>
          </cell>
          <cell r="J291">
            <v>0</v>
          </cell>
          <cell r="K291">
            <v>0</v>
          </cell>
          <cell r="L291">
            <v>0</v>
          </cell>
          <cell r="M291">
            <v>0</v>
          </cell>
          <cell r="N291">
            <v>0</v>
          </cell>
        </row>
        <row r="292">
          <cell r="A292" t="str">
            <v>5100</v>
          </cell>
          <cell r="B292" t="str">
            <v>012201243</v>
          </cell>
          <cell r="C292">
            <v>2000</v>
          </cell>
          <cell r="D292">
            <v>4000</v>
          </cell>
          <cell r="E292">
            <v>4000</v>
          </cell>
          <cell r="F292">
            <v>2000</v>
          </cell>
          <cell r="G292">
            <v>0</v>
          </cell>
          <cell r="H292">
            <v>0</v>
          </cell>
          <cell r="I292">
            <v>2000</v>
          </cell>
          <cell r="J292">
            <v>2000</v>
          </cell>
          <cell r="K292">
            <v>0</v>
          </cell>
          <cell r="L292">
            <v>2000</v>
          </cell>
          <cell r="M292">
            <v>2000</v>
          </cell>
          <cell r="N292">
            <v>0</v>
          </cell>
        </row>
        <row r="293">
          <cell r="A293" t="str">
            <v>5100</v>
          </cell>
          <cell r="B293" t="str">
            <v>012201701</v>
          </cell>
          <cell r="C293">
            <v>2000</v>
          </cell>
          <cell r="D293">
            <v>0</v>
          </cell>
          <cell r="E293">
            <v>0</v>
          </cell>
          <cell r="F293">
            <v>0</v>
          </cell>
          <cell r="G293">
            <v>0</v>
          </cell>
          <cell r="H293">
            <v>2000</v>
          </cell>
          <cell r="I293">
            <v>0</v>
          </cell>
          <cell r="J293">
            <v>0</v>
          </cell>
          <cell r="K293">
            <v>0</v>
          </cell>
          <cell r="L293">
            <v>0</v>
          </cell>
          <cell r="M293">
            <v>0</v>
          </cell>
          <cell r="N293">
            <v>0</v>
          </cell>
        </row>
        <row r="294">
          <cell r="A294" t="str">
            <v>5100</v>
          </cell>
          <cell r="B294" t="str">
            <v>012700621</v>
          </cell>
          <cell r="C294">
            <v>2000</v>
          </cell>
          <cell r="D294">
            <v>4000</v>
          </cell>
          <cell r="E294">
            <v>2000</v>
          </cell>
          <cell r="F294">
            <v>0</v>
          </cell>
          <cell r="G294">
            <v>2000</v>
          </cell>
          <cell r="H294">
            <v>0</v>
          </cell>
          <cell r="I294">
            <v>2000</v>
          </cell>
          <cell r="J294">
            <v>0</v>
          </cell>
          <cell r="K294">
            <v>2000</v>
          </cell>
          <cell r="L294">
            <v>2000</v>
          </cell>
          <cell r="M294">
            <v>0</v>
          </cell>
          <cell r="N294">
            <v>0</v>
          </cell>
        </row>
        <row r="295">
          <cell r="A295" t="str">
            <v>5100</v>
          </cell>
          <cell r="B295" t="str">
            <v>013701291</v>
          </cell>
          <cell r="C295">
            <v>2000</v>
          </cell>
          <cell r="D295">
            <v>0</v>
          </cell>
          <cell r="E295">
            <v>0</v>
          </cell>
          <cell r="F295">
            <v>0</v>
          </cell>
          <cell r="G295">
            <v>2000</v>
          </cell>
          <cell r="H295">
            <v>0</v>
          </cell>
          <cell r="I295">
            <v>0</v>
          </cell>
          <cell r="J295">
            <v>0</v>
          </cell>
          <cell r="K295">
            <v>0</v>
          </cell>
          <cell r="L295">
            <v>0</v>
          </cell>
          <cell r="M295">
            <v>0</v>
          </cell>
          <cell r="N295">
            <v>0</v>
          </cell>
        </row>
        <row r="296">
          <cell r="A296" t="str">
            <v>5100</v>
          </cell>
          <cell r="B296" t="str">
            <v>013701351</v>
          </cell>
          <cell r="C296">
            <v>2000</v>
          </cell>
          <cell r="D296">
            <v>0</v>
          </cell>
          <cell r="E296">
            <v>0</v>
          </cell>
          <cell r="F296">
            <v>0</v>
          </cell>
          <cell r="G296">
            <v>2000</v>
          </cell>
          <cell r="H296">
            <v>0</v>
          </cell>
          <cell r="I296">
            <v>0</v>
          </cell>
          <cell r="J296">
            <v>0</v>
          </cell>
          <cell r="K296">
            <v>0</v>
          </cell>
          <cell r="L296">
            <v>0</v>
          </cell>
          <cell r="M296">
            <v>0</v>
          </cell>
          <cell r="N296">
            <v>0</v>
          </cell>
        </row>
        <row r="297">
          <cell r="A297" t="str">
            <v>5100</v>
          </cell>
          <cell r="B297" t="str">
            <v>013701361</v>
          </cell>
          <cell r="C297">
            <v>2000</v>
          </cell>
          <cell r="D297">
            <v>0</v>
          </cell>
          <cell r="E297">
            <v>0</v>
          </cell>
          <cell r="F297">
            <v>0</v>
          </cell>
          <cell r="G297">
            <v>2000</v>
          </cell>
          <cell r="H297">
            <v>0</v>
          </cell>
          <cell r="I297">
            <v>0</v>
          </cell>
          <cell r="J297">
            <v>0</v>
          </cell>
          <cell r="K297">
            <v>0</v>
          </cell>
          <cell r="L297">
            <v>0</v>
          </cell>
          <cell r="M297">
            <v>0</v>
          </cell>
          <cell r="N297">
            <v>0</v>
          </cell>
        </row>
        <row r="298">
          <cell r="A298" t="str">
            <v>5100</v>
          </cell>
          <cell r="B298" t="str">
            <v>013808870</v>
          </cell>
          <cell r="C298">
            <v>2000</v>
          </cell>
          <cell r="D298">
            <v>2000</v>
          </cell>
          <cell r="E298">
            <v>2000</v>
          </cell>
          <cell r="F298">
            <v>0</v>
          </cell>
          <cell r="G298">
            <v>2000</v>
          </cell>
          <cell r="H298">
            <v>0</v>
          </cell>
          <cell r="I298">
            <v>0</v>
          </cell>
          <cell r="J298">
            <v>0</v>
          </cell>
          <cell r="K298">
            <v>2000</v>
          </cell>
          <cell r="L298">
            <v>0</v>
          </cell>
          <cell r="M298">
            <v>0</v>
          </cell>
          <cell r="N298">
            <v>2000</v>
          </cell>
        </row>
        <row r="299">
          <cell r="A299" t="str">
            <v>5100</v>
          </cell>
          <cell r="B299" t="str">
            <v>014001531</v>
          </cell>
          <cell r="C299">
            <v>2000</v>
          </cell>
          <cell r="D299">
            <v>2000</v>
          </cell>
          <cell r="E299">
            <v>2000</v>
          </cell>
          <cell r="F299">
            <v>0</v>
          </cell>
          <cell r="G299">
            <v>2000</v>
          </cell>
          <cell r="H299">
            <v>0</v>
          </cell>
          <cell r="I299">
            <v>0</v>
          </cell>
          <cell r="J299">
            <v>0</v>
          </cell>
          <cell r="K299">
            <v>2000</v>
          </cell>
          <cell r="L299">
            <v>0</v>
          </cell>
          <cell r="M299">
            <v>0</v>
          </cell>
          <cell r="N299">
            <v>2000</v>
          </cell>
        </row>
        <row r="300">
          <cell r="A300" t="str">
            <v>5100</v>
          </cell>
          <cell r="B300" t="str">
            <v>014001820</v>
          </cell>
          <cell r="C300">
            <v>2000</v>
          </cell>
          <cell r="D300">
            <v>0</v>
          </cell>
          <cell r="E300">
            <v>0</v>
          </cell>
          <cell r="F300">
            <v>0</v>
          </cell>
          <cell r="G300">
            <v>2000</v>
          </cell>
          <cell r="H300">
            <v>0</v>
          </cell>
          <cell r="I300">
            <v>0</v>
          </cell>
          <cell r="J300">
            <v>0</v>
          </cell>
          <cell r="K300">
            <v>0</v>
          </cell>
          <cell r="L300">
            <v>0</v>
          </cell>
          <cell r="M300">
            <v>0</v>
          </cell>
          <cell r="N300">
            <v>0</v>
          </cell>
        </row>
        <row r="301">
          <cell r="A301" t="str">
            <v>5100</v>
          </cell>
          <cell r="B301" t="str">
            <v>014001830</v>
          </cell>
          <cell r="C301">
            <v>2000</v>
          </cell>
          <cell r="D301">
            <v>1000</v>
          </cell>
          <cell r="E301">
            <v>0</v>
          </cell>
          <cell r="F301">
            <v>0</v>
          </cell>
          <cell r="G301">
            <v>2000</v>
          </cell>
          <cell r="H301">
            <v>0</v>
          </cell>
          <cell r="I301">
            <v>0</v>
          </cell>
          <cell r="J301">
            <v>1000</v>
          </cell>
          <cell r="K301">
            <v>0</v>
          </cell>
          <cell r="L301">
            <v>0</v>
          </cell>
          <cell r="M301">
            <v>0</v>
          </cell>
          <cell r="N301">
            <v>0</v>
          </cell>
        </row>
        <row r="302">
          <cell r="A302" t="str">
            <v>5100</v>
          </cell>
          <cell r="B302" t="str">
            <v>014001961</v>
          </cell>
          <cell r="C302">
            <v>2000</v>
          </cell>
          <cell r="D302">
            <v>2000</v>
          </cell>
          <cell r="E302">
            <v>2000</v>
          </cell>
          <cell r="F302">
            <v>2000</v>
          </cell>
          <cell r="G302">
            <v>0</v>
          </cell>
          <cell r="H302">
            <v>0</v>
          </cell>
          <cell r="I302">
            <v>2000</v>
          </cell>
          <cell r="J302">
            <v>0</v>
          </cell>
          <cell r="K302">
            <v>0</v>
          </cell>
          <cell r="L302">
            <v>2000</v>
          </cell>
          <cell r="M302">
            <v>0</v>
          </cell>
          <cell r="N302">
            <v>0</v>
          </cell>
        </row>
        <row r="303">
          <cell r="A303" t="str">
            <v>5100</v>
          </cell>
          <cell r="B303" t="str">
            <v>014002380</v>
          </cell>
          <cell r="C303">
            <v>2000</v>
          </cell>
          <cell r="D303">
            <v>2000</v>
          </cell>
          <cell r="E303">
            <v>0</v>
          </cell>
          <cell r="F303">
            <v>0</v>
          </cell>
          <cell r="G303">
            <v>2000</v>
          </cell>
          <cell r="H303">
            <v>0</v>
          </cell>
          <cell r="I303">
            <v>0</v>
          </cell>
          <cell r="J303">
            <v>2000</v>
          </cell>
          <cell r="K303">
            <v>0</v>
          </cell>
          <cell r="L303">
            <v>0</v>
          </cell>
          <cell r="M303">
            <v>0</v>
          </cell>
          <cell r="N303">
            <v>0</v>
          </cell>
        </row>
        <row r="304">
          <cell r="A304" t="str">
            <v>5100</v>
          </cell>
          <cell r="B304" t="str">
            <v>014701601</v>
          </cell>
          <cell r="C304">
            <v>2000</v>
          </cell>
          <cell r="D304">
            <v>0</v>
          </cell>
          <cell r="E304">
            <v>0</v>
          </cell>
          <cell r="F304">
            <v>0</v>
          </cell>
          <cell r="G304">
            <v>2000</v>
          </cell>
          <cell r="H304">
            <v>0</v>
          </cell>
          <cell r="I304">
            <v>0</v>
          </cell>
          <cell r="J304">
            <v>0</v>
          </cell>
          <cell r="K304">
            <v>0</v>
          </cell>
          <cell r="L304">
            <v>0</v>
          </cell>
          <cell r="M304">
            <v>0</v>
          </cell>
          <cell r="N304">
            <v>0</v>
          </cell>
        </row>
        <row r="305">
          <cell r="A305" t="str">
            <v>5100</v>
          </cell>
          <cell r="B305" t="str">
            <v>014702191</v>
          </cell>
          <cell r="C305">
            <v>2000</v>
          </cell>
          <cell r="D305">
            <v>0</v>
          </cell>
          <cell r="E305">
            <v>0</v>
          </cell>
          <cell r="F305">
            <v>0</v>
          </cell>
          <cell r="G305">
            <v>2000</v>
          </cell>
          <cell r="H305">
            <v>0</v>
          </cell>
          <cell r="I305">
            <v>0</v>
          </cell>
          <cell r="J305">
            <v>0</v>
          </cell>
          <cell r="K305">
            <v>0</v>
          </cell>
          <cell r="L305">
            <v>0</v>
          </cell>
          <cell r="M305">
            <v>0</v>
          </cell>
          <cell r="N305">
            <v>0</v>
          </cell>
        </row>
        <row r="306">
          <cell r="A306" t="str">
            <v>5100</v>
          </cell>
          <cell r="B306" t="str">
            <v>015201680</v>
          </cell>
          <cell r="C306">
            <v>2000</v>
          </cell>
          <cell r="D306">
            <v>0</v>
          </cell>
          <cell r="E306">
            <v>0</v>
          </cell>
          <cell r="F306">
            <v>0</v>
          </cell>
          <cell r="G306">
            <v>2000</v>
          </cell>
          <cell r="H306">
            <v>0</v>
          </cell>
          <cell r="I306">
            <v>0</v>
          </cell>
          <cell r="J306">
            <v>0</v>
          </cell>
          <cell r="K306">
            <v>0</v>
          </cell>
          <cell r="L306">
            <v>0</v>
          </cell>
          <cell r="M306">
            <v>0</v>
          </cell>
          <cell r="N306">
            <v>0</v>
          </cell>
        </row>
        <row r="307">
          <cell r="A307" t="str">
            <v>5100</v>
          </cell>
          <cell r="B307" t="str">
            <v>015201971</v>
          </cell>
          <cell r="C307">
            <v>2000</v>
          </cell>
          <cell r="D307">
            <v>2000</v>
          </cell>
          <cell r="E307">
            <v>0</v>
          </cell>
          <cell r="F307">
            <v>2000</v>
          </cell>
          <cell r="G307">
            <v>0</v>
          </cell>
          <cell r="H307">
            <v>0</v>
          </cell>
          <cell r="I307">
            <v>0</v>
          </cell>
          <cell r="J307">
            <v>0</v>
          </cell>
          <cell r="K307">
            <v>2000</v>
          </cell>
          <cell r="L307">
            <v>0</v>
          </cell>
          <cell r="M307">
            <v>0</v>
          </cell>
          <cell r="N307">
            <v>0</v>
          </cell>
        </row>
        <row r="308">
          <cell r="A308" t="str">
            <v>5100</v>
          </cell>
          <cell r="B308" t="str">
            <v>015202071</v>
          </cell>
          <cell r="C308">
            <v>2000</v>
          </cell>
          <cell r="D308">
            <v>4000</v>
          </cell>
          <cell r="E308">
            <v>4000</v>
          </cell>
          <cell r="F308">
            <v>0</v>
          </cell>
          <cell r="G308">
            <v>2000</v>
          </cell>
          <cell r="H308">
            <v>0</v>
          </cell>
          <cell r="I308">
            <v>0</v>
          </cell>
          <cell r="J308">
            <v>4000</v>
          </cell>
          <cell r="K308">
            <v>0</v>
          </cell>
          <cell r="L308">
            <v>0</v>
          </cell>
          <cell r="M308">
            <v>4000</v>
          </cell>
          <cell r="N308">
            <v>0</v>
          </cell>
        </row>
        <row r="309">
          <cell r="A309" t="str">
            <v>5100</v>
          </cell>
          <cell r="B309" t="str">
            <v>015202171</v>
          </cell>
          <cell r="C309">
            <v>2000</v>
          </cell>
          <cell r="D309">
            <v>2000</v>
          </cell>
          <cell r="E309">
            <v>0</v>
          </cell>
          <cell r="F309">
            <v>0</v>
          </cell>
          <cell r="G309">
            <v>0</v>
          </cell>
          <cell r="H309">
            <v>2000</v>
          </cell>
          <cell r="I309">
            <v>0</v>
          </cell>
          <cell r="J309">
            <v>2000</v>
          </cell>
          <cell r="K309">
            <v>0</v>
          </cell>
          <cell r="L309">
            <v>0</v>
          </cell>
          <cell r="M309">
            <v>0</v>
          </cell>
          <cell r="N309">
            <v>0</v>
          </cell>
        </row>
        <row r="310">
          <cell r="A310" t="str">
            <v>5100</v>
          </cell>
          <cell r="B310" t="str">
            <v>015202491</v>
          </cell>
          <cell r="C310">
            <v>2000</v>
          </cell>
          <cell r="D310">
            <v>2000</v>
          </cell>
          <cell r="E310">
            <v>2000</v>
          </cell>
          <cell r="F310">
            <v>0</v>
          </cell>
          <cell r="G310">
            <v>2000</v>
          </cell>
          <cell r="H310">
            <v>0</v>
          </cell>
          <cell r="I310">
            <v>0</v>
          </cell>
          <cell r="J310">
            <v>2000</v>
          </cell>
          <cell r="K310">
            <v>0</v>
          </cell>
          <cell r="L310">
            <v>0</v>
          </cell>
          <cell r="M310">
            <v>2000</v>
          </cell>
          <cell r="N310">
            <v>0</v>
          </cell>
        </row>
        <row r="311">
          <cell r="A311" t="str">
            <v>5100</v>
          </cell>
          <cell r="B311" t="str">
            <v>015202501</v>
          </cell>
          <cell r="C311">
            <v>2000</v>
          </cell>
          <cell r="D311">
            <v>2000</v>
          </cell>
          <cell r="E311">
            <v>0</v>
          </cell>
          <cell r="F311">
            <v>2000</v>
          </cell>
          <cell r="G311">
            <v>0</v>
          </cell>
          <cell r="H311">
            <v>0</v>
          </cell>
          <cell r="I311">
            <v>2000</v>
          </cell>
          <cell r="J311">
            <v>0</v>
          </cell>
          <cell r="K311">
            <v>0</v>
          </cell>
          <cell r="L311">
            <v>0</v>
          </cell>
          <cell r="M311">
            <v>0</v>
          </cell>
          <cell r="N311">
            <v>0</v>
          </cell>
        </row>
        <row r="312">
          <cell r="A312" t="str">
            <v>5100</v>
          </cell>
          <cell r="B312" t="str">
            <v>015202621</v>
          </cell>
          <cell r="C312">
            <v>2000</v>
          </cell>
          <cell r="D312">
            <v>0</v>
          </cell>
          <cell r="E312">
            <v>0</v>
          </cell>
          <cell r="F312">
            <v>2000</v>
          </cell>
          <cell r="G312">
            <v>0</v>
          </cell>
          <cell r="H312">
            <v>0</v>
          </cell>
          <cell r="I312">
            <v>0</v>
          </cell>
          <cell r="J312">
            <v>0</v>
          </cell>
          <cell r="K312">
            <v>0</v>
          </cell>
          <cell r="L312">
            <v>0</v>
          </cell>
          <cell r="M312">
            <v>0</v>
          </cell>
          <cell r="N312">
            <v>0</v>
          </cell>
        </row>
        <row r="313">
          <cell r="A313" t="str">
            <v>5100</v>
          </cell>
          <cell r="B313" t="str">
            <v>015501542</v>
          </cell>
          <cell r="C313">
            <v>2000</v>
          </cell>
          <cell r="D313">
            <v>2000</v>
          </cell>
          <cell r="E313">
            <v>2000</v>
          </cell>
          <cell r="F313">
            <v>2000</v>
          </cell>
          <cell r="G313">
            <v>0</v>
          </cell>
          <cell r="H313">
            <v>0</v>
          </cell>
          <cell r="I313">
            <v>2000</v>
          </cell>
          <cell r="J313">
            <v>0</v>
          </cell>
          <cell r="K313">
            <v>0</v>
          </cell>
          <cell r="L313">
            <v>2000</v>
          </cell>
          <cell r="M313">
            <v>0</v>
          </cell>
          <cell r="N313">
            <v>0</v>
          </cell>
        </row>
        <row r="314">
          <cell r="A314" t="str">
            <v>5100</v>
          </cell>
          <cell r="B314" t="str">
            <v>015501551</v>
          </cell>
          <cell r="C314">
            <v>2000</v>
          </cell>
          <cell r="D314">
            <v>2000</v>
          </cell>
          <cell r="E314">
            <v>2000</v>
          </cell>
          <cell r="F314">
            <v>2000</v>
          </cell>
          <cell r="G314">
            <v>0</v>
          </cell>
          <cell r="H314">
            <v>0</v>
          </cell>
          <cell r="I314">
            <v>2000</v>
          </cell>
          <cell r="J314">
            <v>0</v>
          </cell>
          <cell r="K314">
            <v>0</v>
          </cell>
          <cell r="L314">
            <v>2000</v>
          </cell>
          <cell r="M314">
            <v>0</v>
          </cell>
          <cell r="N314">
            <v>0</v>
          </cell>
        </row>
        <row r="315">
          <cell r="A315" t="str">
            <v>5100</v>
          </cell>
          <cell r="B315" t="str">
            <v>015502830</v>
          </cell>
          <cell r="C315">
            <v>2000</v>
          </cell>
          <cell r="D315">
            <v>4000</v>
          </cell>
          <cell r="E315">
            <v>0</v>
          </cell>
          <cell r="F315">
            <v>0</v>
          </cell>
          <cell r="G315">
            <v>2000</v>
          </cell>
          <cell r="H315">
            <v>0</v>
          </cell>
          <cell r="I315">
            <v>2000</v>
          </cell>
          <cell r="J315">
            <v>0</v>
          </cell>
          <cell r="K315">
            <v>2000</v>
          </cell>
          <cell r="L315">
            <v>0</v>
          </cell>
          <cell r="M315">
            <v>0</v>
          </cell>
          <cell r="N315">
            <v>0</v>
          </cell>
        </row>
        <row r="316">
          <cell r="A316" t="str">
            <v>9410</v>
          </cell>
          <cell r="B316" t="str">
            <v>010700692</v>
          </cell>
          <cell r="C316">
            <v>2000</v>
          </cell>
          <cell r="D316">
            <v>2000</v>
          </cell>
          <cell r="E316">
            <v>2000</v>
          </cell>
          <cell r="F316">
            <v>0</v>
          </cell>
          <cell r="G316">
            <v>0</v>
          </cell>
          <cell r="H316">
            <v>2000</v>
          </cell>
          <cell r="I316">
            <v>0</v>
          </cell>
          <cell r="J316">
            <v>0</v>
          </cell>
          <cell r="K316">
            <v>2000</v>
          </cell>
          <cell r="L316">
            <v>0</v>
          </cell>
          <cell r="M316">
            <v>0</v>
          </cell>
          <cell r="N316">
            <v>2000</v>
          </cell>
        </row>
        <row r="317">
          <cell r="A317" t="str">
            <v>9410</v>
          </cell>
          <cell r="B317" t="str">
            <v>015201471</v>
          </cell>
          <cell r="C317">
            <v>2000</v>
          </cell>
          <cell r="D317">
            <v>2000</v>
          </cell>
          <cell r="E317">
            <v>0</v>
          </cell>
          <cell r="F317">
            <v>2000</v>
          </cell>
          <cell r="G317">
            <v>0</v>
          </cell>
          <cell r="H317">
            <v>0</v>
          </cell>
          <cell r="I317">
            <v>2000</v>
          </cell>
          <cell r="J317">
            <v>0</v>
          </cell>
          <cell r="K317">
            <v>0</v>
          </cell>
          <cell r="L317">
            <v>0</v>
          </cell>
          <cell r="M317">
            <v>0</v>
          </cell>
          <cell r="N317">
            <v>0</v>
          </cell>
        </row>
        <row r="318">
          <cell r="A318" t="str">
            <v>9410</v>
          </cell>
          <cell r="B318" t="str">
            <v>015202830</v>
          </cell>
          <cell r="C318">
            <v>2000</v>
          </cell>
          <cell r="D318">
            <v>0</v>
          </cell>
          <cell r="E318">
            <v>0</v>
          </cell>
          <cell r="F318">
            <v>0</v>
          </cell>
          <cell r="G318">
            <v>2000</v>
          </cell>
          <cell r="H318">
            <v>0</v>
          </cell>
          <cell r="I318">
            <v>0</v>
          </cell>
          <cell r="J318">
            <v>0</v>
          </cell>
          <cell r="K318">
            <v>0</v>
          </cell>
          <cell r="L318">
            <v>0</v>
          </cell>
          <cell r="M318">
            <v>0</v>
          </cell>
          <cell r="N318">
            <v>0</v>
          </cell>
        </row>
        <row r="319">
          <cell r="A319" t="str">
            <v>9420</v>
          </cell>
          <cell r="B319" t="str">
            <v>010700392</v>
          </cell>
          <cell r="C319">
            <v>2000</v>
          </cell>
          <cell r="D319">
            <v>0</v>
          </cell>
          <cell r="E319">
            <v>0</v>
          </cell>
          <cell r="F319">
            <v>0</v>
          </cell>
          <cell r="G319">
            <v>0</v>
          </cell>
          <cell r="H319">
            <v>2000</v>
          </cell>
          <cell r="I319">
            <v>0</v>
          </cell>
          <cell r="J319">
            <v>0</v>
          </cell>
          <cell r="K319">
            <v>0</v>
          </cell>
          <cell r="L319">
            <v>0</v>
          </cell>
          <cell r="M319">
            <v>0</v>
          </cell>
          <cell r="N319">
            <v>0</v>
          </cell>
        </row>
        <row r="320">
          <cell r="A320" t="str">
            <v>9420</v>
          </cell>
          <cell r="B320" t="str">
            <v>010700770</v>
          </cell>
          <cell r="C320">
            <v>2000</v>
          </cell>
          <cell r="D320">
            <v>2000</v>
          </cell>
          <cell r="E320">
            <v>0</v>
          </cell>
          <cell r="F320">
            <v>0</v>
          </cell>
          <cell r="G320">
            <v>2000</v>
          </cell>
          <cell r="H320">
            <v>0</v>
          </cell>
          <cell r="I320">
            <v>0</v>
          </cell>
          <cell r="J320">
            <v>2000</v>
          </cell>
          <cell r="K320">
            <v>0</v>
          </cell>
          <cell r="L320">
            <v>0</v>
          </cell>
          <cell r="M320">
            <v>0</v>
          </cell>
          <cell r="N320">
            <v>0</v>
          </cell>
        </row>
        <row r="321">
          <cell r="A321" t="str">
            <v>9420</v>
          </cell>
          <cell r="B321" t="str">
            <v>011404191</v>
          </cell>
          <cell r="C321">
            <v>2000</v>
          </cell>
          <cell r="D321">
            <v>2000</v>
          </cell>
          <cell r="E321">
            <v>0</v>
          </cell>
          <cell r="F321">
            <v>0</v>
          </cell>
          <cell r="G321">
            <v>0</v>
          </cell>
          <cell r="H321">
            <v>2000</v>
          </cell>
          <cell r="I321">
            <v>0</v>
          </cell>
          <cell r="J321">
            <v>0</v>
          </cell>
          <cell r="K321">
            <v>2000</v>
          </cell>
          <cell r="L321">
            <v>0</v>
          </cell>
          <cell r="M321">
            <v>0</v>
          </cell>
          <cell r="N321">
            <v>0</v>
          </cell>
        </row>
        <row r="322">
          <cell r="A322" t="str">
            <v>9420</v>
          </cell>
          <cell r="B322" t="str">
            <v>011405480</v>
          </cell>
          <cell r="C322">
            <v>2000</v>
          </cell>
          <cell r="D322">
            <v>2000</v>
          </cell>
          <cell r="E322">
            <v>0</v>
          </cell>
          <cell r="F322">
            <v>0</v>
          </cell>
          <cell r="G322">
            <v>2000</v>
          </cell>
          <cell r="H322">
            <v>0</v>
          </cell>
          <cell r="I322">
            <v>0</v>
          </cell>
          <cell r="J322">
            <v>2000</v>
          </cell>
          <cell r="K322">
            <v>0</v>
          </cell>
          <cell r="L322">
            <v>0</v>
          </cell>
          <cell r="M322">
            <v>0</v>
          </cell>
          <cell r="N322">
            <v>0</v>
          </cell>
        </row>
        <row r="323">
          <cell r="A323" t="str">
            <v>9420</v>
          </cell>
          <cell r="B323" t="str">
            <v>013806871</v>
          </cell>
          <cell r="C323">
            <v>2000</v>
          </cell>
          <cell r="D323">
            <v>0</v>
          </cell>
          <cell r="E323">
            <v>0</v>
          </cell>
          <cell r="F323">
            <v>2000</v>
          </cell>
          <cell r="G323">
            <v>0</v>
          </cell>
          <cell r="H323">
            <v>0</v>
          </cell>
          <cell r="I323">
            <v>0</v>
          </cell>
          <cell r="J323">
            <v>0</v>
          </cell>
          <cell r="K323">
            <v>0</v>
          </cell>
          <cell r="L323">
            <v>0</v>
          </cell>
          <cell r="M323">
            <v>0</v>
          </cell>
          <cell r="N323">
            <v>0</v>
          </cell>
        </row>
        <row r="324">
          <cell r="A324" t="str">
            <v>9420</v>
          </cell>
          <cell r="B324" t="str">
            <v>015201482</v>
          </cell>
          <cell r="C324">
            <v>2000</v>
          </cell>
          <cell r="D324">
            <v>0</v>
          </cell>
          <cell r="E324">
            <v>0</v>
          </cell>
          <cell r="F324">
            <v>0</v>
          </cell>
          <cell r="G324">
            <v>2000</v>
          </cell>
          <cell r="H324">
            <v>0</v>
          </cell>
          <cell r="I324">
            <v>0</v>
          </cell>
          <cell r="J324">
            <v>0</v>
          </cell>
          <cell r="K324">
            <v>0</v>
          </cell>
          <cell r="L324">
            <v>0</v>
          </cell>
          <cell r="M324">
            <v>0</v>
          </cell>
          <cell r="N324">
            <v>0</v>
          </cell>
        </row>
        <row r="325">
          <cell r="A325" t="str">
            <v>9420</v>
          </cell>
          <cell r="B325" t="str">
            <v>015201881</v>
          </cell>
          <cell r="C325">
            <v>2000</v>
          </cell>
          <cell r="D325">
            <v>0</v>
          </cell>
          <cell r="E325">
            <v>0</v>
          </cell>
          <cell r="F325">
            <v>0</v>
          </cell>
          <cell r="G325">
            <v>0</v>
          </cell>
          <cell r="H325">
            <v>2000</v>
          </cell>
          <cell r="I325">
            <v>0</v>
          </cell>
          <cell r="J325">
            <v>0</v>
          </cell>
          <cell r="K325">
            <v>0</v>
          </cell>
          <cell r="L325">
            <v>0</v>
          </cell>
          <cell r="M325">
            <v>0</v>
          </cell>
          <cell r="N325">
            <v>0</v>
          </cell>
        </row>
        <row r="326">
          <cell r="A326" t="str">
            <v>9420</v>
          </cell>
          <cell r="B326" t="str">
            <v>015202650</v>
          </cell>
          <cell r="C326">
            <v>2000</v>
          </cell>
          <cell r="D326">
            <v>0</v>
          </cell>
          <cell r="E326">
            <v>0</v>
          </cell>
          <cell r="F326">
            <v>2000</v>
          </cell>
          <cell r="G326">
            <v>0</v>
          </cell>
          <cell r="H326">
            <v>0</v>
          </cell>
          <cell r="I326">
            <v>0</v>
          </cell>
          <cell r="J326">
            <v>0</v>
          </cell>
          <cell r="K326">
            <v>0</v>
          </cell>
          <cell r="L326">
            <v>0</v>
          </cell>
          <cell r="M326">
            <v>0</v>
          </cell>
          <cell r="N326">
            <v>0</v>
          </cell>
        </row>
        <row r="327">
          <cell r="A327" t="str">
            <v>9420</v>
          </cell>
          <cell r="B327" t="str">
            <v>015202661</v>
          </cell>
          <cell r="C327">
            <v>2000</v>
          </cell>
          <cell r="D327">
            <v>2000</v>
          </cell>
          <cell r="E327">
            <v>0</v>
          </cell>
          <cell r="F327">
            <v>2000</v>
          </cell>
          <cell r="G327">
            <v>0</v>
          </cell>
          <cell r="H327">
            <v>0</v>
          </cell>
          <cell r="I327">
            <v>2000</v>
          </cell>
          <cell r="J327">
            <v>0</v>
          </cell>
          <cell r="K327">
            <v>0</v>
          </cell>
          <cell r="L327">
            <v>0</v>
          </cell>
          <cell r="M327">
            <v>0</v>
          </cell>
          <cell r="N327">
            <v>0</v>
          </cell>
        </row>
        <row r="328">
          <cell r="A328" t="str">
            <v>5100</v>
          </cell>
          <cell r="B328" t="str">
            <v>014800721</v>
          </cell>
          <cell r="C328">
            <v>1600</v>
          </cell>
          <cell r="D328">
            <v>0</v>
          </cell>
          <cell r="E328">
            <v>0</v>
          </cell>
          <cell r="F328">
            <v>1600</v>
          </cell>
          <cell r="G328">
            <v>0</v>
          </cell>
          <cell r="H328">
            <v>0</v>
          </cell>
          <cell r="I328">
            <v>0</v>
          </cell>
          <cell r="J328">
            <v>0</v>
          </cell>
          <cell r="K328">
            <v>0</v>
          </cell>
          <cell r="L328">
            <v>0</v>
          </cell>
          <cell r="M328">
            <v>0</v>
          </cell>
          <cell r="N328">
            <v>0</v>
          </cell>
        </row>
        <row r="329">
          <cell r="A329" t="str">
            <v>0000</v>
          </cell>
          <cell r="B329" t="str">
            <v>014797030</v>
          </cell>
          <cell r="C329">
            <v>1525</v>
          </cell>
          <cell r="D329">
            <v>0</v>
          </cell>
          <cell r="E329">
            <v>0</v>
          </cell>
          <cell r="F329">
            <v>1025</v>
          </cell>
          <cell r="G329">
            <v>500</v>
          </cell>
          <cell r="H329">
            <v>0</v>
          </cell>
          <cell r="I329">
            <v>0</v>
          </cell>
          <cell r="J329">
            <v>0</v>
          </cell>
          <cell r="K329">
            <v>0</v>
          </cell>
          <cell r="L329">
            <v>0</v>
          </cell>
          <cell r="M329">
            <v>0</v>
          </cell>
          <cell r="N329">
            <v>0</v>
          </cell>
        </row>
        <row r="330">
          <cell r="A330" t="str">
            <v>5100</v>
          </cell>
          <cell r="B330" t="str">
            <v>011404341</v>
          </cell>
          <cell r="C330">
            <v>1500</v>
          </cell>
          <cell r="D330">
            <v>0</v>
          </cell>
          <cell r="E330">
            <v>0</v>
          </cell>
          <cell r="F330">
            <v>0</v>
          </cell>
          <cell r="G330">
            <v>1500</v>
          </cell>
          <cell r="H330">
            <v>0</v>
          </cell>
          <cell r="I330">
            <v>0</v>
          </cell>
          <cell r="J330">
            <v>0</v>
          </cell>
          <cell r="K330">
            <v>0</v>
          </cell>
          <cell r="L330">
            <v>0</v>
          </cell>
          <cell r="M330">
            <v>0</v>
          </cell>
          <cell r="N330">
            <v>0</v>
          </cell>
        </row>
        <row r="331">
          <cell r="A331" t="str">
            <v>5100</v>
          </cell>
          <cell r="B331" t="str">
            <v>011404590</v>
          </cell>
          <cell r="C331">
            <v>1500</v>
          </cell>
          <cell r="D331">
            <v>0</v>
          </cell>
          <cell r="E331">
            <v>0</v>
          </cell>
          <cell r="F331">
            <v>1500</v>
          </cell>
          <cell r="G331">
            <v>0</v>
          </cell>
          <cell r="H331">
            <v>0</v>
          </cell>
          <cell r="I331">
            <v>0</v>
          </cell>
          <cell r="J331">
            <v>0</v>
          </cell>
          <cell r="K331">
            <v>0</v>
          </cell>
          <cell r="L331">
            <v>0</v>
          </cell>
          <cell r="M331">
            <v>0</v>
          </cell>
          <cell r="N331">
            <v>0</v>
          </cell>
        </row>
        <row r="332">
          <cell r="A332" t="str">
            <v>5100</v>
          </cell>
          <cell r="B332" t="str">
            <v>012201620</v>
          </cell>
          <cell r="C332">
            <v>1500</v>
          </cell>
          <cell r="D332">
            <v>0</v>
          </cell>
          <cell r="E332">
            <v>0</v>
          </cell>
          <cell r="F332">
            <v>0</v>
          </cell>
          <cell r="G332">
            <v>1500</v>
          </cell>
          <cell r="H332">
            <v>0</v>
          </cell>
          <cell r="I332">
            <v>0</v>
          </cell>
          <cell r="J332">
            <v>0</v>
          </cell>
          <cell r="K332">
            <v>0</v>
          </cell>
          <cell r="L332">
            <v>0</v>
          </cell>
          <cell r="M332">
            <v>0</v>
          </cell>
          <cell r="N332">
            <v>0</v>
          </cell>
        </row>
        <row r="333">
          <cell r="A333" t="str">
            <v>5100</v>
          </cell>
          <cell r="B333" t="str">
            <v>012201630</v>
          </cell>
          <cell r="C333">
            <v>1500</v>
          </cell>
          <cell r="D333">
            <v>0</v>
          </cell>
          <cell r="E333">
            <v>0</v>
          </cell>
          <cell r="F333">
            <v>0</v>
          </cell>
          <cell r="G333">
            <v>1500</v>
          </cell>
          <cell r="H333">
            <v>0</v>
          </cell>
          <cell r="I333">
            <v>0</v>
          </cell>
          <cell r="J333">
            <v>0</v>
          </cell>
          <cell r="K333">
            <v>0</v>
          </cell>
          <cell r="L333">
            <v>0</v>
          </cell>
          <cell r="M333">
            <v>0</v>
          </cell>
          <cell r="N333">
            <v>0</v>
          </cell>
        </row>
        <row r="334">
          <cell r="A334" t="str">
            <v>5100</v>
          </cell>
          <cell r="B334" t="str">
            <v>012900190</v>
          </cell>
          <cell r="C334">
            <v>1500</v>
          </cell>
          <cell r="D334">
            <v>0</v>
          </cell>
          <cell r="E334">
            <v>0</v>
          </cell>
          <cell r="F334">
            <v>0</v>
          </cell>
          <cell r="G334">
            <v>0</v>
          </cell>
          <cell r="H334">
            <v>1500</v>
          </cell>
          <cell r="I334">
            <v>0</v>
          </cell>
          <cell r="J334">
            <v>0</v>
          </cell>
          <cell r="K334">
            <v>0</v>
          </cell>
          <cell r="L334">
            <v>0</v>
          </cell>
          <cell r="M334">
            <v>0</v>
          </cell>
          <cell r="N334">
            <v>0</v>
          </cell>
        </row>
        <row r="335">
          <cell r="A335" t="str">
            <v>5100</v>
          </cell>
          <cell r="B335" t="str">
            <v>013701251</v>
          </cell>
          <cell r="C335">
            <v>1500</v>
          </cell>
          <cell r="D335">
            <v>0</v>
          </cell>
          <cell r="E335">
            <v>0</v>
          </cell>
          <cell r="F335">
            <v>1500</v>
          </cell>
          <cell r="G335">
            <v>0</v>
          </cell>
          <cell r="H335">
            <v>0</v>
          </cell>
          <cell r="I335">
            <v>0</v>
          </cell>
          <cell r="J335">
            <v>0</v>
          </cell>
          <cell r="K335">
            <v>0</v>
          </cell>
          <cell r="L335">
            <v>0</v>
          </cell>
          <cell r="M335">
            <v>0</v>
          </cell>
          <cell r="N335">
            <v>0</v>
          </cell>
        </row>
        <row r="336">
          <cell r="A336" t="str">
            <v>5100</v>
          </cell>
          <cell r="B336" t="str">
            <v>013701430</v>
          </cell>
          <cell r="C336">
            <v>1500</v>
          </cell>
          <cell r="D336">
            <v>0</v>
          </cell>
          <cell r="E336">
            <v>0</v>
          </cell>
          <cell r="F336">
            <v>0</v>
          </cell>
          <cell r="G336">
            <v>0</v>
          </cell>
          <cell r="H336">
            <v>1500</v>
          </cell>
          <cell r="I336">
            <v>0</v>
          </cell>
          <cell r="J336">
            <v>0</v>
          </cell>
          <cell r="K336">
            <v>0</v>
          </cell>
          <cell r="L336">
            <v>0</v>
          </cell>
          <cell r="M336">
            <v>0</v>
          </cell>
          <cell r="N336">
            <v>0</v>
          </cell>
        </row>
        <row r="337">
          <cell r="A337" t="str">
            <v>5100</v>
          </cell>
          <cell r="B337" t="str">
            <v>013701440</v>
          </cell>
          <cell r="C337">
            <v>1500</v>
          </cell>
          <cell r="D337">
            <v>0</v>
          </cell>
          <cell r="E337">
            <v>0</v>
          </cell>
          <cell r="F337">
            <v>0</v>
          </cell>
          <cell r="G337">
            <v>0</v>
          </cell>
          <cell r="H337">
            <v>1500</v>
          </cell>
          <cell r="I337">
            <v>0</v>
          </cell>
          <cell r="J337">
            <v>0</v>
          </cell>
          <cell r="K337">
            <v>0</v>
          </cell>
          <cell r="L337">
            <v>0</v>
          </cell>
          <cell r="M337">
            <v>0</v>
          </cell>
          <cell r="N337">
            <v>0</v>
          </cell>
        </row>
        <row r="338">
          <cell r="A338" t="str">
            <v>5100</v>
          </cell>
          <cell r="B338" t="str">
            <v>013701570</v>
          </cell>
          <cell r="C338">
            <v>1500</v>
          </cell>
          <cell r="D338">
            <v>0</v>
          </cell>
          <cell r="E338">
            <v>0</v>
          </cell>
          <cell r="F338">
            <v>0</v>
          </cell>
          <cell r="G338">
            <v>0</v>
          </cell>
          <cell r="H338">
            <v>1500</v>
          </cell>
          <cell r="I338">
            <v>0</v>
          </cell>
          <cell r="J338">
            <v>0</v>
          </cell>
          <cell r="K338">
            <v>0</v>
          </cell>
          <cell r="L338">
            <v>0</v>
          </cell>
          <cell r="M338">
            <v>0</v>
          </cell>
          <cell r="N338">
            <v>0</v>
          </cell>
        </row>
        <row r="339">
          <cell r="A339" t="str">
            <v>5100</v>
          </cell>
          <cell r="B339" t="str">
            <v>013701580</v>
          </cell>
          <cell r="C339">
            <v>1500</v>
          </cell>
          <cell r="D339">
            <v>0</v>
          </cell>
          <cell r="E339">
            <v>0</v>
          </cell>
          <cell r="F339">
            <v>0</v>
          </cell>
          <cell r="G339">
            <v>0</v>
          </cell>
          <cell r="H339">
            <v>1500</v>
          </cell>
          <cell r="I339">
            <v>0</v>
          </cell>
          <cell r="J339">
            <v>0</v>
          </cell>
          <cell r="K339">
            <v>0</v>
          </cell>
          <cell r="L339">
            <v>0</v>
          </cell>
          <cell r="M339">
            <v>0</v>
          </cell>
          <cell r="N339">
            <v>0</v>
          </cell>
        </row>
        <row r="340">
          <cell r="A340" t="str">
            <v>5100</v>
          </cell>
          <cell r="B340" t="str">
            <v>015502440</v>
          </cell>
          <cell r="C340">
            <v>1500</v>
          </cell>
          <cell r="D340">
            <v>0</v>
          </cell>
          <cell r="E340">
            <v>0</v>
          </cell>
          <cell r="F340">
            <v>0</v>
          </cell>
          <cell r="G340">
            <v>1500</v>
          </cell>
          <cell r="H340">
            <v>0</v>
          </cell>
          <cell r="I340">
            <v>0</v>
          </cell>
          <cell r="J340">
            <v>0</v>
          </cell>
          <cell r="K340">
            <v>0</v>
          </cell>
          <cell r="L340">
            <v>0</v>
          </cell>
          <cell r="M340">
            <v>0</v>
          </cell>
          <cell r="N340">
            <v>0</v>
          </cell>
        </row>
        <row r="341">
          <cell r="A341" t="str">
            <v>5100</v>
          </cell>
          <cell r="B341" t="str">
            <v>013806621</v>
          </cell>
          <cell r="C341">
            <v>1400</v>
          </cell>
          <cell r="D341">
            <v>0</v>
          </cell>
          <cell r="E341">
            <v>0</v>
          </cell>
          <cell r="F341">
            <v>0</v>
          </cell>
          <cell r="G341">
            <v>1400</v>
          </cell>
          <cell r="H341">
            <v>0</v>
          </cell>
          <cell r="I341">
            <v>0</v>
          </cell>
          <cell r="J341">
            <v>0</v>
          </cell>
          <cell r="K341">
            <v>0</v>
          </cell>
          <cell r="L341">
            <v>0</v>
          </cell>
          <cell r="M341">
            <v>0</v>
          </cell>
          <cell r="N341">
            <v>0</v>
          </cell>
        </row>
        <row r="342">
          <cell r="A342" t="str">
            <v>5100</v>
          </cell>
          <cell r="B342" t="str">
            <v>013806931</v>
          </cell>
          <cell r="C342">
            <v>1300</v>
          </cell>
          <cell r="D342">
            <v>0</v>
          </cell>
          <cell r="E342">
            <v>0</v>
          </cell>
          <cell r="F342">
            <v>0</v>
          </cell>
          <cell r="G342">
            <v>1300</v>
          </cell>
          <cell r="H342">
            <v>0</v>
          </cell>
          <cell r="I342">
            <v>0</v>
          </cell>
          <cell r="J342">
            <v>0</v>
          </cell>
          <cell r="K342">
            <v>0</v>
          </cell>
          <cell r="L342">
            <v>0</v>
          </cell>
          <cell r="M342">
            <v>0</v>
          </cell>
          <cell r="N342">
            <v>0</v>
          </cell>
        </row>
        <row r="343">
          <cell r="A343" t="str">
            <v>5100</v>
          </cell>
          <cell r="B343" t="str">
            <v>014800772</v>
          </cell>
          <cell r="C343">
            <v>1300</v>
          </cell>
          <cell r="D343">
            <v>0</v>
          </cell>
          <cell r="E343">
            <v>0</v>
          </cell>
          <cell r="F343">
            <v>1300</v>
          </cell>
          <cell r="G343">
            <v>0</v>
          </cell>
          <cell r="H343">
            <v>0</v>
          </cell>
          <cell r="I343">
            <v>0</v>
          </cell>
          <cell r="J343">
            <v>0</v>
          </cell>
          <cell r="K343">
            <v>0</v>
          </cell>
          <cell r="L343">
            <v>0</v>
          </cell>
          <cell r="M343">
            <v>0</v>
          </cell>
          <cell r="N343">
            <v>0</v>
          </cell>
        </row>
        <row r="344">
          <cell r="A344" t="str">
            <v>9420</v>
          </cell>
          <cell r="B344" t="str">
            <v>015502450</v>
          </cell>
          <cell r="C344">
            <v>1300</v>
          </cell>
          <cell r="D344">
            <v>0</v>
          </cell>
          <cell r="E344">
            <v>0</v>
          </cell>
          <cell r="F344">
            <v>0</v>
          </cell>
          <cell r="G344">
            <v>1300</v>
          </cell>
          <cell r="H344">
            <v>0</v>
          </cell>
          <cell r="I344">
            <v>0</v>
          </cell>
          <cell r="J344">
            <v>0</v>
          </cell>
          <cell r="K344">
            <v>0</v>
          </cell>
          <cell r="L344">
            <v>0</v>
          </cell>
          <cell r="M344">
            <v>0</v>
          </cell>
          <cell r="N344">
            <v>0</v>
          </cell>
        </row>
        <row r="345">
          <cell r="A345" t="str">
            <v>5100</v>
          </cell>
          <cell r="B345" t="str">
            <v>010900915</v>
          </cell>
          <cell r="C345">
            <v>1200</v>
          </cell>
          <cell r="D345">
            <v>0</v>
          </cell>
          <cell r="E345">
            <v>0</v>
          </cell>
          <cell r="F345">
            <v>0</v>
          </cell>
          <cell r="G345">
            <v>0</v>
          </cell>
          <cell r="H345">
            <v>1200</v>
          </cell>
          <cell r="I345">
            <v>0</v>
          </cell>
          <cell r="J345">
            <v>0</v>
          </cell>
          <cell r="K345">
            <v>0</v>
          </cell>
          <cell r="L345">
            <v>0</v>
          </cell>
          <cell r="M345">
            <v>0</v>
          </cell>
          <cell r="N345">
            <v>0</v>
          </cell>
        </row>
        <row r="346">
          <cell r="A346" t="str">
            <v>5100</v>
          </cell>
          <cell r="B346" t="str">
            <v>010901381</v>
          </cell>
          <cell r="C346">
            <v>1200</v>
          </cell>
          <cell r="D346">
            <v>0</v>
          </cell>
          <cell r="E346">
            <v>0</v>
          </cell>
          <cell r="F346">
            <v>0</v>
          </cell>
          <cell r="G346">
            <v>1200</v>
          </cell>
          <cell r="H346">
            <v>0</v>
          </cell>
          <cell r="I346">
            <v>0</v>
          </cell>
          <cell r="J346">
            <v>0</v>
          </cell>
          <cell r="K346">
            <v>0</v>
          </cell>
          <cell r="L346">
            <v>0</v>
          </cell>
          <cell r="M346">
            <v>0</v>
          </cell>
          <cell r="N346">
            <v>0</v>
          </cell>
        </row>
        <row r="347">
          <cell r="A347" t="str">
            <v>5100</v>
          </cell>
          <cell r="B347" t="str">
            <v>010901550</v>
          </cell>
          <cell r="C347">
            <v>1200</v>
          </cell>
          <cell r="D347">
            <v>0</v>
          </cell>
          <cell r="E347">
            <v>0</v>
          </cell>
          <cell r="F347">
            <v>0</v>
          </cell>
          <cell r="G347">
            <v>1200</v>
          </cell>
          <cell r="H347">
            <v>0</v>
          </cell>
          <cell r="I347">
            <v>0</v>
          </cell>
          <cell r="J347">
            <v>0</v>
          </cell>
          <cell r="K347">
            <v>0</v>
          </cell>
          <cell r="L347">
            <v>0</v>
          </cell>
          <cell r="M347">
            <v>0</v>
          </cell>
          <cell r="N347">
            <v>0</v>
          </cell>
        </row>
        <row r="348">
          <cell r="A348" t="str">
            <v>5100</v>
          </cell>
          <cell r="B348" t="str">
            <v>010901600</v>
          </cell>
          <cell r="C348">
            <v>1200</v>
          </cell>
          <cell r="D348">
            <v>1200</v>
          </cell>
          <cell r="E348">
            <v>0</v>
          </cell>
          <cell r="F348">
            <v>1200</v>
          </cell>
          <cell r="G348">
            <v>0</v>
          </cell>
          <cell r="H348">
            <v>0</v>
          </cell>
          <cell r="I348">
            <v>1200</v>
          </cell>
          <cell r="J348">
            <v>0</v>
          </cell>
          <cell r="K348">
            <v>0</v>
          </cell>
          <cell r="L348">
            <v>0</v>
          </cell>
          <cell r="M348">
            <v>0</v>
          </cell>
          <cell r="N348">
            <v>0</v>
          </cell>
        </row>
        <row r="349">
          <cell r="A349" t="str">
            <v>5100</v>
          </cell>
          <cell r="B349" t="str">
            <v>010901652</v>
          </cell>
          <cell r="C349">
            <v>1200</v>
          </cell>
          <cell r="D349">
            <v>1200</v>
          </cell>
          <cell r="E349">
            <v>0</v>
          </cell>
          <cell r="F349">
            <v>0</v>
          </cell>
          <cell r="G349">
            <v>1200</v>
          </cell>
          <cell r="H349">
            <v>0</v>
          </cell>
          <cell r="I349">
            <v>0</v>
          </cell>
          <cell r="J349">
            <v>0</v>
          </cell>
          <cell r="K349">
            <v>1200</v>
          </cell>
          <cell r="L349">
            <v>0</v>
          </cell>
          <cell r="M349">
            <v>0</v>
          </cell>
          <cell r="N349">
            <v>0</v>
          </cell>
        </row>
        <row r="350">
          <cell r="A350" t="str">
            <v>5100</v>
          </cell>
          <cell r="B350" t="str">
            <v>011402710</v>
          </cell>
          <cell r="C350">
            <v>1200</v>
          </cell>
          <cell r="D350">
            <v>1200</v>
          </cell>
          <cell r="E350">
            <v>0</v>
          </cell>
          <cell r="F350">
            <v>1200</v>
          </cell>
          <cell r="G350">
            <v>0</v>
          </cell>
          <cell r="H350">
            <v>0</v>
          </cell>
          <cell r="I350">
            <v>1200</v>
          </cell>
          <cell r="J350">
            <v>0</v>
          </cell>
          <cell r="K350">
            <v>0</v>
          </cell>
          <cell r="L350">
            <v>0</v>
          </cell>
          <cell r="M350">
            <v>0</v>
          </cell>
          <cell r="N350">
            <v>0</v>
          </cell>
        </row>
        <row r="351">
          <cell r="A351" t="str">
            <v>5100</v>
          </cell>
          <cell r="B351" t="str">
            <v>011403650</v>
          </cell>
          <cell r="C351">
            <v>1200</v>
          </cell>
          <cell r="D351">
            <v>0</v>
          </cell>
          <cell r="E351">
            <v>0</v>
          </cell>
          <cell r="F351">
            <v>0</v>
          </cell>
          <cell r="G351">
            <v>1200</v>
          </cell>
          <cell r="H351">
            <v>0</v>
          </cell>
          <cell r="I351">
            <v>0</v>
          </cell>
          <cell r="J351">
            <v>0</v>
          </cell>
          <cell r="K351">
            <v>0</v>
          </cell>
          <cell r="L351">
            <v>0</v>
          </cell>
          <cell r="M351">
            <v>0</v>
          </cell>
          <cell r="N351">
            <v>0</v>
          </cell>
        </row>
        <row r="352">
          <cell r="A352" t="str">
            <v>5100</v>
          </cell>
          <cell r="B352" t="str">
            <v>011405211</v>
          </cell>
          <cell r="C352">
            <v>1200</v>
          </cell>
          <cell r="D352">
            <v>2400</v>
          </cell>
          <cell r="E352">
            <v>2400</v>
          </cell>
          <cell r="F352">
            <v>0</v>
          </cell>
          <cell r="G352">
            <v>1200</v>
          </cell>
          <cell r="H352">
            <v>0</v>
          </cell>
          <cell r="I352">
            <v>2400</v>
          </cell>
          <cell r="J352">
            <v>0</v>
          </cell>
          <cell r="K352">
            <v>0</v>
          </cell>
          <cell r="L352">
            <v>2400</v>
          </cell>
          <cell r="M352">
            <v>0</v>
          </cell>
          <cell r="N352">
            <v>0</v>
          </cell>
        </row>
        <row r="353">
          <cell r="A353" t="str">
            <v>5100</v>
          </cell>
          <cell r="B353" t="str">
            <v>011405231</v>
          </cell>
          <cell r="C353">
            <v>1200</v>
          </cell>
          <cell r="D353">
            <v>2400</v>
          </cell>
          <cell r="E353">
            <v>2400</v>
          </cell>
          <cell r="F353">
            <v>0</v>
          </cell>
          <cell r="G353">
            <v>1200</v>
          </cell>
          <cell r="H353">
            <v>0</v>
          </cell>
          <cell r="I353">
            <v>1200</v>
          </cell>
          <cell r="J353">
            <v>1200</v>
          </cell>
          <cell r="K353">
            <v>0</v>
          </cell>
          <cell r="L353">
            <v>1200</v>
          </cell>
          <cell r="M353">
            <v>1200</v>
          </cell>
          <cell r="N353">
            <v>0</v>
          </cell>
        </row>
        <row r="354">
          <cell r="A354" t="str">
            <v>5100</v>
          </cell>
          <cell r="B354" t="str">
            <v>012201710</v>
          </cell>
          <cell r="C354">
            <v>1200</v>
          </cell>
          <cell r="D354">
            <v>1200</v>
          </cell>
          <cell r="E354">
            <v>0</v>
          </cell>
          <cell r="F354">
            <v>0</v>
          </cell>
          <cell r="G354">
            <v>0</v>
          </cell>
          <cell r="H354">
            <v>1200</v>
          </cell>
          <cell r="I354">
            <v>0</v>
          </cell>
          <cell r="J354">
            <v>0</v>
          </cell>
          <cell r="K354">
            <v>1200</v>
          </cell>
          <cell r="L354">
            <v>0</v>
          </cell>
          <cell r="M354">
            <v>0</v>
          </cell>
          <cell r="N354">
            <v>0</v>
          </cell>
        </row>
        <row r="355">
          <cell r="A355" t="str">
            <v>5100</v>
          </cell>
          <cell r="B355" t="str">
            <v>012201741</v>
          </cell>
          <cell r="C355">
            <v>1200</v>
          </cell>
          <cell r="D355">
            <v>2400</v>
          </cell>
          <cell r="E355">
            <v>0</v>
          </cell>
          <cell r="F355">
            <v>0</v>
          </cell>
          <cell r="G355">
            <v>0</v>
          </cell>
          <cell r="H355">
            <v>1200</v>
          </cell>
          <cell r="I355">
            <v>1200</v>
          </cell>
          <cell r="J355">
            <v>0</v>
          </cell>
          <cell r="K355">
            <v>1200</v>
          </cell>
          <cell r="L355">
            <v>0</v>
          </cell>
          <cell r="M355">
            <v>0</v>
          </cell>
          <cell r="N355">
            <v>0</v>
          </cell>
        </row>
        <row r="356">
          <cell r="A356" t="str">
            <v>5100</v>
          </cell>
          <cell r="B356" t="str">
            <v>012601010</v>
          </cell>
          <cell r="C356">
            <v>1200</v>
          </cell>
          <cell r="D356">
            <v>1200</v>
          </cell>
          <cell r="E356">
            <v>0</v>
          </cell>
          <cell r="F356">
            <v>0</v>
          </cell>
          <cell r="G356">
            <v>0</v>
          </cell>
          <cell r="H356">
            <v>1200</v>
          </cell>
          <cell r="I356">
            <v>0</v>
          </cell>
          <cell r="J356">
            <v>0</v>
          </cell>
          <cell r="K356">
            <v>1200</v>
          </cell>
          <cell r="L356">
            <v>0</v>
          </cell>
          <cell r="M356">
            <v>0</v>
          </cell>
          <cell r="N356">
            <v>0</v>
          </cell>
        </row>
        <row r="357">
          <cell r="A357" t="str">
            <v>5100</v>
          </cell>
          <cell r="B357" t="str">
            <v>012900320</v>
          </cell>
          <cell r="C357">
            <v>1200</v>
          </cell>
          <cell r="D357">
            <v>0</v>
          </cell>
          <cell r="E357">
            <v>0</v>
          </cell>
          <cell r="F357">
            <v>1200</v>
          </cell>
          <cell r="G357">
            <v>0</v>
          </cell>
          <cell r="H357">
            <v>0</v>
          </cell>
          <cell r="I357">
            <v>0</v>
          </cell>
          <cell r="J357">
            <v>0</v>
          </cell>
          <cell r="K357">
            <v>0</v>
          </cell>
          <cell r="L357">
            <v>0</v>
          </cell>
          <cell r="M357">
            <v>0</v>
          </cell>
          <cell r="N357">
            <v>0</v>
          </cell>
        </row>
        <row r="358">
          <cell r="A358" t="str">
            <v>5100</v>
          </cell>
          <cell r="B358" t="str">
            <v>013806891</v>
          </cell>
          <cell r="C358">
            <v>1200</v>
          </cell>
          <cell r="D358">
            <v>0</v>
          </cell>
          <cell r="E358">
            <v>0</v>
          </cell>
          <cell r="F358">
            <v>1200</v>
          </cell>
          <cell r="G358">
            <v>0</v>
          </cell>
          <cell r="H358">
            <v>0</v>
          </cell>
          <cell r="I358">
            <v>0</v>
          </cell>
          <cell r="J358">
            <v>0</v>
          </cell>
          <cell r="K358">
            <v>0</v>
          </cell>
          <cell r="L358">
            <v>0</v>
          </cell>
          <cell r="M358">
            <v>0</v>
          </cell>
          <cell r="N358">
            <v>0</v>
          </cell>
        </row>
        <row r="359">
          <cell r="A359" t="str">
            <v>5100</v>
          </cell>
          <cell r="B359" t="str">
            <v>014001321</v>
          </cell>
          <cell r="C359">
            <v>1200</v>
          </cell>
          <cell r="D359">
            <v>1200</v>
          </cell>
          <cell r="E359">
            <v>0</v>
          </cell>
          <cell r="F359">
            <v>0</v>
          </cell>
          <cell r="G359">
            <v>0</v>
          </cell>
          <cell r="H359">
            <v>1200</v>
          </cell>
          <cell r="I359">
            <v>0</v>
          </cell>
          <cell r="J359">
            <v>0</v>
          </cell>
          <cell r="K359">
            <v>1200</v>
          </cell>
          <cell r="L359">
            <v>0</v>
          </cell>
          <cell r="M359">
            <v>0</v>
          </cell>
          <cell r="N359">
            <v>0</v>
          </cell>
        </row>
        <row r="360">
          <cell r="A360" t="str">
            <v>5100</v>
          </cell>
          <cell r="B360" t="str">
            <v>014001331</v>
          </cell>
          <cell r="C360">
            <v>1200</v>
          </cell>
          <cell r="D360">
            <v>1200</v>
          </cell>
          <cell r="E360">
            <v>1200</v>
          </cell>
          <cell r="F360">
            <v>0</v>
          </cell>
          <cell r="G360">
            <v>1200</v>
          </cell>
          <cell r="H360">
            <v>0</v>
          </cell>
          <cell r="I360">
            <v>0</v>
          </cell>
          <cell r="J360">
            <v>1200</v>
          </cell>
          <cell r="K360">
            <v>0</v>
          </cell>
          <cell r="L360">
            <v>0</v>
          </cell>
          <cell r="M360">
            <v>1200</v>
          </cell>
          <cell r="N360">
            <v>0</v>
          </cell>
        </row>
        <row r="361">
          <cell r="A361" t="str">
            <v>5100</v>
          </cell>
          <cell r="B361" t="str">
            <v>014001421</v>
          </cell>
          <cell r="C361">
            <v>1200</v>
          </cell>
          <cell r="D361">
            <v>1200</v>
          </cell>
          <cell r="E361">
            <v>1200</v>
          </cell>
          <cell r="F361">
            <v>0</v>
          </cell>
          <cell r="G361">
            <v>0</v>
          </cell>
          <cell r="H361">
            <v>1200</v>
          </cell>
          <cell r="I361">
            <v>0</v>
          </cell>
          <cell r="J361">
            <v>0</v>
          </cell>
          <cell r="K361">
            <v>1200</v>
          </cell>
          <cell r="L361">
            <v>0</v>
          </cell>
          <cell r="M361">
            <v>0</v>
          </cell>
          <cell r="N361">
            <v>1200</v>
          </cell>
        </row>
        <row r="362">
          <cell r="A362" t="str">
            <v>5100</v>
          </cell>
          <cell r="B362" t="str">
            <v>014001570</v>
          </cell>
          <cell r="C362">
            <v>1200</v>
          </cell>
          <cell r="D362">
            <v>1200</v>
          </cell>
          <cell r="E362">
            <v>0</v>
          </cell>
          <cell r="F362">
            <v>0</v>
          </cell>
          <cell r="G362">
            <v>1200</v>
          </cell>
          <cell r="H362">
            <v>0</v>
          </cell>
          <cell r="I362">
            <v>0</v>
          </cell>
          <cell r="J362">
            <v>1200</v>
          </cell>
          <cell r="K362">
            <v>0</v>
          </cell>
          <cell r="L362">
            <v>0</v>
          </cell>
          <cell r="M362">
            <v>0</v>
          </cell>
          <cell r="N362">
            <v>0</v>
          </cell>
        </row>
        <row r="363">
          <cell r="A363" t="str">
            <v>5100</v>
          </cell>
          <cell r="B363" t="str">
            <v>014001920</v>
          </cell>
          <cell r="C363">
            <v>1200</v>
          </cell>
          <cell r="D363">
            <v>1200</v>
          </cell>
          <cell r="E363">
            <v>0</v>
          </cell>
          <cell r="F363">
            <v>1200</v>
          </cell>
          <cell r="G363">
            <v>0</v>
          </cell>
          <cell r="H363">
            <v>0</v>
          </cell>
          <cell r="I363">
            <v>0</v>
          </cell>
          <cell r="J363">
            <v>1200</v>
          </cell>
          <cell r="K363">
            <v>0</v>
          </cell>
          <cell r="L363">
            <v>0</v>
          </cell>
          <cell r="M363">
            <v>0</v>
          </cell>
          <cell r="N363">
            <v>0</v>
          </cell>
        </row>
        <row r="364">
          <cell r="A364" t="str">
            <v>5100</v>
          </cell>
          <cell r="B364" t="str">
            <v>014002120</v>
          </cell>
          <cell r="C364">
            <v>1200</v>
          </cell>
          <cell r="D364">
            <v>2400</v>
          </cell>
          <cell r="E364">
            <v>1200</v>
          </cell>
          <cell r="F364">
            <v>0</v>
          </cell>
          <cell r="G364">
            <v>1200</v>
          </cell>
          <cell r="H364">
            <v>0</v>
          </cell>
          <cell r="I364">
            <v>1200</v>
          </cell>
          <cell r="J364">
            <v>0</v>
          </cell>
          <cell r="K364">
            <v>1200</v>
          </cell>
          <cell r="L364">
            <v>0</v>
          </cell>
          <cell r="M364">
            <v>0</v>
          </cell>
          <cell r="N364">
            <v>1200</v>
          </cell>
        </row>
        <row r="365">
          <cell r="A365" t="str">
            <v>5100</v>
          </cell>
          <cell r="B365" t="str">
            <v>014002140</v>
          </cell>
          <cell r="C365">
            <v>1200</v>
          </cell>
          <cell r="D365">
            <v>1200</v>
          </cell>
          <cell r="E365">
            <v>1200</v>
          </cell>
          <cell r="F365">
            <v>0</v>
          </cell>
          <cell r="G365">
            <v>1200</v>
          </cell>
          <cell r="H365">
            <v>0</v>
          </cell>
          <cell r="I365">
            <v>0</v>
          </cell>
          <cell r="J365">
            <v>1200</v>
          </cell>
          <cell r="K365">
            <v>0</v>
          </cell>
          <cell r="L365">
            <v>0</v>
          </cell>
          <cell r="M365">
            <v>1200</v>
          </cell>
          <cell r="N365">
            <v>0</v>
          </cell>
        </row>
        <row r="366">
          <cell r="A366" t="str">
            <v>5100</v>
          </cell>
          <cell r="B366" t="str">
            <v>014002201</v>
          </cell>
          <cell r="C366">
            <v>1200</v>
          </cell>
          <cell r="D366">
            <v>1200</v>
          </cell>
          <cell r="E366">
            <v>1200</v>
          </cell>
          <cell r="F366">
            <v>0</v>
          </cell>
          <cell r="G366">
            <v>1200</v>
          </cell>
          <cell r="H366">
            <v>0</v>
          </cell>
          <cell r="I366">
            <v>1200</v>
          </cell>
          <cell r="J366">
            <v>0</v>
          </cell>
          <cell r="K366">
            <v>0</v>
          </cell>
          <cell r="L366">
            <v>1200</v>
          </cell>
          <cell r="M366">
            <v>0</v>
          </cell>
          <cell r="N366">
            <v>0</v>
          </cell>
        </row>
        <row r="367">
          <cell r="A367" t="str">
            <v>5100</v>
          </cell>
          <cell r="B367" t="str">
            <v>014002210</v>
          </cell>
          <cell r="C367">
            <v>1200</v>
          </cell>
          <cell r="D367">
            <v>0</v>
          </cell>
          <cell r="E367">
            <v>0</v>
          </cell>
          <cell r="F367">
            <v>1200</v>
          </cell>
          <cell r="G367">
            <v>0</v>
          </cell>
          <cell r="H367">
            <v>0</v>
          </cell>
          <cell r="I367">
            <v>0</v>
          </cell>
          <cell r="J367">
            <v>0</v>
          </cell>
          <cell r="K367">
            <v>0</v>
          </cell>
          <cell r="L367">
            <v>0</v>
          </cell>
          <cell r="M367">
            <v>0</v>
          </cell>
          <cell r="N367">
            <v>0</v>
          </cell>
        </row>
        <row r="368">
          <cell r="A368" t="str">
            <v>5100</v>
          </cell>
          <cell r="B368" t="str">
            <v>014002250</v>
          </cell>
          <cell r="C368">
            <v>1200</v>
          </cell>
          <cell r="D368">
            <v>0</v>
          </cell>
          <cell r="E368">
            <v>0</v>
          </cell>
          <cell r="F368">
            <v>0</v>
          </cell>
          <cell r="G368">
            <v>0</v>
          </cell>
          <cell r="H368">
            <v>1200</v>
          </cell>
          <cell r="I368">
            <v>0</v>
          </cell>
          <cell r="J368">
            <v>0</v>
          </cell>
          <cell r="K368">
            <v>0</v>
          </cell>
          <cell r="L368">
            <v>0</v>
          </cell>
          <cell r="M368">
            <v>0</v>
          </cell>
          <cell r="N368">
            <v>0</v>
          </cell>
        </row>
        <row r="369">
          <cell r="A369" t="str">
            <v>5100</v>
          </cell>
          <cell r="B369" t="str">
            <v>014701971</v>
          </cell>
          <cell r="C369">
            <v>1200</v>
          </cell>
          <cell r="D369">
            <v>0</v>
          </cell>
          <cell r="E369">
            <v>0</v>
          </cell>
          <cell r="F369">
            <v>1200</v>
          </cell>
          <cell r="G369">
            <v>0</v>
          </cell>
          <cell r="H369">
            <v>0</v>
          </cell>
          <cell r="I369">
            <v>0</v>
          </cell>
          <cell r="J369">
            <v>0</v>
          </cell>
          <cell r="K369">
            <v>0</v>
          </cell>
          <cell r="L369">
            <v>0</v>
          </cell>
          <cell r="M369">
            <v>0</v>
          </cell>
          <cell r="N369">
            <v>0</v>
          </cell>
        </row>
        <row r="370">
          <cell r="A370" t="str">
            <v>5100</v>
          </cell>
          <cell r="B370" t="str">
            <v>015100356</v>
          </cell>
          <cell r="C370">
            <v>1200</v>
          </cell>
          <cell r="D370">
            <v>1200</v>
          </cell>
          <cell r="E370">
            <v>0</v>
          </cell>
          <cell r="F370">
            <v>0</v>
          </cell>
          <cell r="G370">
            <v>1200</v>
          </cell>
          <cell r="H370">
            <v>0</v>
          </cell>
          <cell r="I370">
            <v>0</v>
          </cell>
          <cell r="J370">
            <v>1200</v>
          </cell>
          <cell r="K370">
            <v>0</v>
          </cell>
          <cell r="L370">
            <v>0</v>
          </cell>
          <cell r="M370">
            <v>0</v>
          </cell>
          <cell r="N370">
            <v>0</v>
          </cell>
        </row>
        <row r="371">
          <cell r="A371" t="str">
            <v>5100</v>
          </cell>
          <cell r="B371" t="str">
            <v>015201060</v>
          </cell>
          <cell r="C371">
            <v>1200</v>
          </cell>
          <cell r="D371">
            <v>0</v>
          </cell>
          <cell r="E371">
            <v>0</v>
          </cell>
          <cell r="F371">
            <v>0</v>
          </cell>
          <cell r="G371">
            <v>1200</v>
          </cell>
          <cell r="H371">
            <v>0</v>
          </cell>
          <cell r="I371">
            <v>0</v>
          </cell>
          <cell r="J371">
            <v>0</v>
          </cell>
          <cell r="K371">
            <v>0</v>
          </cell>
          <cell r="L371">
            <v>0</v>
          </cell>
          <cell r="M371">
            <v>0</v>
          </cell>
          <cell r="N371">
            <v>0</v>
          </cell>
        </row>
        <row r="372">
          <cell r="A372" t="str">
            <v>5100</v>
          </cell>
          <cell r="B372" t="str">
            <v>015201071</v>
          </cell>
          <cell r="C372">
            <v>1200</v>
          </cell>
          <cell r="D372">
            <v>0</v>
          </cell>
          <cell r="E372">
            <v>0</v>
          </cell>
          <cell r="F372">
            <v>0</v>
          </cell>
          <cell r="G372">
            <v>1200</v>
          </cell>
          <cell r="H372">
            <v>0</v>
          </cell>
          <cell r="I372">
            <v>0</v>
          </cell>
          <cell r="J372">
            <v>0</v>
          </cell>
          <cell r="K372">
            <v>0</v>
          </cell>
          <cell r="L372">
            <v>0</v>
          </cell>
          <cell r="M372">
            <v>0</v>
          </cell>
          <cell r="N372">
            <v>0</v>
          </cell>
        </row>
        <row r="373">
          <cell r="A373" t="str">
            <v>9410</v>
          </cell>
          <cell r="B373" t="str">
            <v>013806781</v>
          </cell>
          <cell r="C373">
            <v>1200</v>
          </cell>
          <cell r="D373">
            <v>0</v>
          </cell>
          <cell r="E373">
            <v>0</v>
          </cell>
          <cell r="F373">
            <v>1200</v>
          </cell>
          <cell r="G373">
            <v>0</v>
          </cell>
          <cell r="H373">
            <v>0</v>
          </cell>
          <cell r="I373">
            <v>0</v>
          </cell>
          <cell r="J373">
            <v>0</v>
          </cell>
          <cell r="K373">
            <v>0</v>
          </cell>
          <cell r="L373">
            <v>0</v>
          </cell>
          <cell r="M373">
            <v>0</v>
          </cell>
          <cell r="N373">
            <v>0</v>
          </cell>
        </row>
        <row r="374">
          <cell r="A374" t="str">
            <v>9410</v>
          </cell>
          <cell r="B374" t="str">
            <v>013807980</v>
          </cell>
          <cell r="C374">
            <v>1200</v>
          </cell>
          <cell r="D374">
            <v>0</v>
          </cell>
          <cell r="E374">
            <v>0</v>
          </cell>
          <cell r="F374">
            <v>1200</v>
          </cell>
          <cell r="G374">
            <v>0</v>
          </cell>
          <cell r="H374">
            <v>0</v>
          </cell>
          <cell r="I374">
            <v>0</v>
          </cell>
          <cell r="J374">
            <v>0</v>
          </cell>
          <cell r="K374">
            <v>0</v>
          </cell>
          <cell r="L374">
            <v>0</v>
          </cell>
          <cell r="M374">
            <v>0</v>
          </cell>
          <cell r="N374">
            <v>0</v>
          </cell>
        </row>
        <row r="375">
          <cell r="A375" t="str">
            <v>9410</v>
          </cell>
          <cell r="B375" t="str">
            <v>013808770</v>
          </cell>
          <cell r="C375">
            <v>1200</v>
          </cell>
          <cell r="D375">
            <v>0</v>
          </cell>
          <cell r="E375">
            <v>0</v>
          </cell>
          <cell r="F375">
            <v>0</v>
          </cell>
          <cell r="G375">
            <v>0</v>
          </cell>
          <cell r="H375">
            <v>1200</v>
          </cell>
          <cell r="I375">
            <v>0</v>
          </cell>
          <cell r="J375">
            <v>0</v>
          </cell>
          <cell r="K375">
            <v>0</v>
          </cell>
          <cell r="L375">
            <v>0</v>
          </cell>
          <cell r="M375">
            <v>0</v>
          </cell>
          <cell r="N375">
            <v>0</v>
          </cell>
        </row>
        <row r="376">
          <cell r="A376" t="str">
            <v>9420</v>
          </cell>
          <cell r="B376" t="str">
            <v>014703260</v>
          </cell>
          <cell r="C376">
            <v>1200</v>
          </cell>
          <cell r="D376">
            <v>0</v>
          </cell>
          <cell r="E376">
            <v>0</v>
          </cell>
          <cell r="F376">
            <v>1200</v>
          </cell>
          <cell r="G376">
            <v>0</v>
          </cell>
          <cell r="H376">
            <v>0</v>
          </cell>
          <cell r="I376">
            <v>0</v>
          </cell>
          <cell r="J376">
            <v>0</v>
          </cell>
          <cell r="K376">
            <v>0</v>
          </cell>
          <cell r="L376">
            <v>0</v>
          </cell>
          <cell r="M376">
            <v>0</v>
          </cell>
          <cell r="N376">
            <v>0</v>
          </cell>
        </row>
        <row r="377">
          <cell r="A377" t="str">
            <v>5100</v>
          </cell>
          <cell r="B377" t="str">
            <v>012900580</v>
          </cell>
          <cell r="C377">
            <v>1100</v>
          </cell>
          <cell r="D377">
            <v>0</v>
          </cell>
          <cell r="E377">
            <v>0</v>
          </cell>
          <cell r="F377">
            <v>1100</v>
          </cell>
          <cell r="G377">
            <v>0</v>
          </cell>
          <cell r="H377">
            <v>0</v>
          </cell>
          <cell r="I377">
            <v>0</v>
          </cell>
          <cell r="J377">
            <v>0</v>
          </cell>
          <cell r="K377">
            <v>0</v>
          </cell>
          <cell r="L377">
            <v>0</v>
          </cell>
          <cell r="M377">
            <v>0</v>
          </cell>
          <cell r="N377">
            <v>0</v>
          </cell>
        </row>
        <row r="378">
          <cell r="A378" t="str">
            <v>5100</v>
          </cell>
          <cell r="B378" t="str">
            <v>012900590</v>
          </cell>
          <cell r="C378">
            <v>1100</v>
          </cell>
          <cell r="D378">
            <v>0</v>
          </cell>
          <cell r="E378">
            <v>0</v>
          </cell>
          <cell r="F378">
            <v>1100</v>
          </cell>
          <cell r="G378">
            <v>0</v>
          </cell>
          <cell r="H378">
            <v>0</v>
          </cell>
          <cell r="I378">
            <v>0</v>
          </cell>
          <cell r="J378">
            <v>0</v>
          </cell>
          <cell r="K378">
            <v>0</v>
          </cell>
          <cell r="L378">
            <v>0</v>
          </cell>
          <cell r="M378">
            <v>0</v>
          </cell>
          <cell r="N378">
            <v>0</v>
          </cell>
        </row>
        <row r="379">
          <cell r="A379" t="str">
            <v>0000</v>
          </cell>
          <cell r="B379" t="str">
            <v>014702950</v>
          </cell>
          <cell r="C379">
            <v>1080</v>
          </cell>
          <cell r="D379">
            <v>0</v>
          </cell>
          <cell r="E379">
            <v>0</v>
          </cell>
          <cell r="F379">
            <v>1080</v>
          </cell>
          <cell r="G379">
            <v>0</v>
          </cell>
          <cell r="H379">
            <v>0</v>
          </cell>
          <cell r="I379">
            <v>0</v>
          </cell>
          <cell r="J379">
            <v>0</v>
          </cell>
          <cell r="K379">
            <v>0</v>
          </cell>
          <cell r="L379">
            <v>0</v>
          </cell>
          <cell r="M379">
            <v>0</v>
          </cell>
          <cell r="N379">
            <v>0</v>
          </cell>
        </row>
        <row r="380">
          <cell r="A380" t="str">
            <v>5100</v>
          </cell>
          <cell r="B380" t="str">
            <v>011404090</v>
          </cell>
          <cell r="C380">
            <v>1000</v>
          </cell>
          <cell r="D380">
            <v>0</v>
          </cell>
          <cell r="E380">
            <v>0</v>
          </cell>
          <cell r="F380">
            <v>1000</v>
          </cell>
          <cell r="G380">
            <v>0</v>
          </cell>
          <cell r="H380">
            <v>0</v>
          </cell>
          <cell r="I380">
            <v>0</v>
          </cell>
          <cell r="J380">
            <v>0</v>
          </cell>
          <cell r="K380">
            <v>0</v>
          </cell>
          <cell r="L380">
            <v>0</v>
          </cell>
          <cell r="M380">
            <v>0</v>
          </cell>
          <cell r="N380">
            <v>0</v>
          </cell>
        </row>
        <row r="381">
          <cell r="A381" t="str">
            <v>5100</v>
          </cell>
          <cell r="B381" t="str">
            <v>011404791</v>
          </cell>
          <cell r="C381">
            <v>1000</v>
          </cell>
          <cell r="D381">
            <v>0</v>
          </cell>
          <cell r="E381">
            <v>0</v>
          </cell>
          <cell r="F381">
            <v>0</v>
          </cell>
          <cell r="G381">
            <v>1000</v>
          </cell>
          <cell r="H381">
            <v>0</v>
          </cell>
          <cell r="I381">
            <v>0</v>
          </cell>
          <cell r="J381">
            <v>0</v>
          </cell>
          <cell r="K381">
            <v>0</v>
          </cell>
          <cell r="L381">
            <v>0</v>
          </cell>
          <cell r="M381">
            <v>0</v>
          </cell>
          <cell r="N381">
            <v>0</v>
          </cell>
        </row>
        <row r="382">
          <cell r="A382" t="str">
            <v>5100</v>
          </cell>
          <cell r="B382" t="str">
            <v>012900600</v>
          </cell>
          <cell r="C382">
            <v>1000</v>
          </cell>
          <cell r="D382">
            <v>0</v>
          </cell>
          <cell r="E382">
            <v>0</v>
          </cell>
          <cell r="F382">
            <v>1000</v>
          </cell>
          <cell r="G382">
            <v>0</v>
          </cell>
          <cell r="H382">
            <v>0</v>
          </cell>
          <cell r="I382">
            <v>0</v>
          </cell>
          <cell r="J382">
            <v>0</v>
          </cell>
          <cell r="K382">
            <v>0</v>
          </cell>
          <cell r="L382">
            <v>0</v>
          </cell>
          <cell r="M382">
            <v>0</v>
          </cell>
          <cell r="N382">
            <v>0</v>
          </cell>
        </row>
        <row r="383">
          <cell r="A383" t="str">
            <v>5100</v>
          </cell>
          <cell r="B383" t="str">
            <v>014000941</v>
          </cell>
          <cell r="C383">
            <v>1000</v>
          </cell>
          <cell r="D383">
            <v>0</v>
          </cell>
          <cell r="E383">
            <v>0</v>
          </cell>
          <cell r="F383">
            <v>0</v>
          </cell>
          <cell r="G383">
            <v>1000</v>
          </cell>
          <cell r="H383">
            <v>0</v>
          </cell>
          <cell r="I383">
            <v>0</v>
          </cell>
          <cell r="J383">
            <v>0</v>
          </cell>
          <cell r="K383">
            <v>0</v>
          </cell>
          <cell r="L383">
            <v>0</v>
          </cell>
          <cell r="M383">
            <v>0</v>
          </cell>
          <cell r="N383">
            <v>0</v>
          </cell>
        </row>
        <row r="384">
          <cell r="A384" t="str">
            <v>5100</v>
          </cell>
          <cell r="B384" t="str">
            <v>014000954</v>
          </cell>
          <cell r="C384">
            <v>1000</v>
          </cell>
          <cell r="D384">
            <v>0</v>
          </cell>
          <cell r="E384">
            <v>0</v>
          </cell>
          <cell r="F384">
            <v>1000</v>
          </cell>
          <cell r="G384">
            <v>0</v>
          </cell>
          <cell r="H384">
            <v>0</v>
          </cell>
          <cell r="I384">
            <v>0</v>
          </cell>
          <cell r="J384">
            <v>0</v>
          </cell>
          <cell r="K384">
            <v>0</v>
          </cell>
          <cell r="L384">
            <v>0</v>
          </cell>
          <cell r="M384">
            <v>0</v>
          </cell>
          <cell r="N384">
            <v>0</v>
          </cell>
        </row>
        <row r="385">
          <cell r="A385" t="str">
            <v>5100</v>
          </cell>
          <cell r="B385" t="str">
            <v>014001291</v>
          </cell>
          <cell r="C385">
            <v>1000</v>
          </cell>
          <cell r="D385">
            <v>0</v>
          </cell>
          <cell r="E385">
            <v>0</v>
          </cell>
          <cell r="F385">
            <v>1000</v>
          </cell>
          <cell r="G385">
            <v>0</v>
          </cell>
          <cell r="H385">
            <v>0</v>
          </cell>
          <cell r="I385">
            <v>0</v>
          </cell>
          <cell r="J385">
            <v>0</v>
          </cell>
          <cell r="K385">
            <v>0</v>
          </cell>
          <cell r="L385">
            <v>0</v>
          </cell>
          <cell r="M385">
            <v>0</v>
          </cell>
          <cell r="N385">
            <v>0</v>
          </cell>
        </row>
        <row r="386">
          <cell r="A386" t="str">
            <v>5100</v>
          </cell>
          <cell r="B386" t="str">
            <v>014800731</v>
          </cell>
          <cell r="C386">
            <v>1000</v>
          </cell>
          <cell r="D386">
            <v>0</v>
          </cell>
          <cell r="E386">
            <v>0</v>
          </cell>
          <cell r="F386">
            <v>1000</v>
          </cell>
          <cell r="G386">
            <v>0</v>
          </cell>
          <cell r="H386">
            <v>0</v>
          </cell>
          <cell r="I386">
            <v>0</v>
          </cell>
          <cell r="J386">
            <v>0</v>
          </cell>
          <cell r="K386">
            <v>0</v>
          </cell>
          <cell r="L386">
            <v>0</v>
          </cell>
          <cell r="M386">
            <v>0</v>
          </cell>
          <cell r="N386">
            <v>0</v>
          </cell>
        </row>
        <row r="387">
          <cell r="A387" t="str">
            <v>5100</v>
          </cell>
          <cell r="B387" t="str">
            <v>014800911</v>
          </cell>
          <cell r="C387">
            <v>1000</v>
          </cell>
          <cell r="D387">
            <v>0</v>
          </cell>
          <cell r="E387">
            <v>0</v>
          </cell>
          <cell r="F387">
            <v>1000</v>
          </cell>
          <cell r="G387">
            <v>0</v>
          </cell>
          <cell r="H387">
            <v>0</v>
          </cell>
          <cell r="I387">
            <v>0</v>
          </cell>
          <cell r="J387">
            <v>0</v>
          </cell>
          <cell r="K387">
            <v>0</v>
          </cell>
          <cell r="L387">
            <v>0</v>
          </cell>
          <cell r="M387">
            <v>0</v>
          </cell>
          <cell r="N387">
            <v>0</v>
          </cell>
        </row>
        <row r="388">
          <cell r="A388" t="str">
            <v>5100</v>
          </cell>
          <cell r="B388" t="str">
            <v>015200561</v>
          </cell>
          <cell r="C388">
            <v>1000</v>
          </cell>
          <cell r="D388">
            <v>0</v>
          </cell>
          <cell r="E388">
            <v>0</v>
          </cell>
          <cell r="F388">
            <v>1000</v>
          </cell>
          <cell r="G388">
            <v>0</v>
          </cell>
          <cell r="H388">
            <v>0</v>
          </cell>
          <cell r="I388">
            <v>0</v>
          </cell>
          <cell r="J388">
            <v>0</v>
          </cell>
          <cell r="K388">
            <v>0</v>
          </cell>
          <cell r="L388">
            <v>0</v>
          </cell>
          <cell r="M388">
            <v>0</v>
          </cell>
          <cell r="N388">
            <v>0</v>
          </cell>
        </row>
        <row r="389">
          <cell r="A389" t="str">
            <v>5100</v>
          </cell>
          <cell r="B389" t="str">
            <v>015201100</v>
          </cell>
          <cell r="C389">
            <v>1000</v>
          </cell>
          <cell r="D389">
            <v>0</v>
          </cell>
          <cell r="E389">
            <v>0</v>
          </cell>
          <cell r="F389">
            <v>0</v>
          </cell>
          <cell r="G389">
            <v>1000</v>
          </cell>
          <cell r="H389">
            <v>0</v>
          </cell>
          <cell r="I389">
            <v>0</v>
          </cell>
          <cell r="J389">
            <v>0</v>
          </cell>
          <cell r="K389">
            <v>0</v>
          </cell>
          <cell r="L389">
            <v>0</v>
          </cell>
          <cell r="M389">
            <v>0</v>
          </cell>
          <cell r="N389">
            <v>0</v>
          </cell>
        </row>
        <row r="390">
          <cell r="A390" t="str">
            <v>5100</v>
          </cell>
          <cell r="B390" t="str">
            <v>015201310</v>
          </cell>
          <cell r="C390">
            <v>1000</v>
          </cell>
          <cell r="D390">
            <v>0</v>
          </cell>
          <cell r="E390">
            <v>0</v>
          </cell>
          <cell r="F390">
            <v>0</v>
          </cell>
          <cell r="G390">
            <v>1000</v>
          </cell>
          <cell r="H390">
            <v>0</v>
          </cell>
          <cell r="I390">
            <v>0</v>
          </cell>
          <cell r="J390">
            <v>0</v>
          </cell>
          <cell r="K390">
            <v>0</v>
          </cell>
          <cell r="L390">
            <v>0</v>
          </cell>
          <cell r="M390">
            <v>0</v>
          </cell>
          <cell r="N390">
            <v>0</v>
          </cell>
        </row>
        <row r="391">
          <cell r="A391" t="str">
            <v>5100</v>
          </cell>
          <cell r="B391" t="str">
            <v>015500421</v>
          </cell>
          <cell r="C391">
            <v>1000</v>
          </cell>
          <cell r="D391">
            <v>1000</v>
          </cell>
          <cell r="E391">
            <v>0</v>
          </cell>
          <cell r="F391">
            <v>1000</v>
          </cell>
          <cell r="G391">
            <v>0</v>
          </cell>
          <cell r="H391">
            <v>0</v>
          </cell>
          <cell r="I391">
            <v>1000</v>
          </cell>
          <cell r="J391">
            <v>0</v>
          </cell>
          <cell r="K391">
            <v>0</v>
          </cell>
          <cell r="L391">
            <v>0</v>
          </cell>
          <cell r="M391">
            <v>0</v>
          </cell>
          <cell r="N391">
            <v>0</v>
          </cell>
        </row>
        <row r="392">
          <cell r="A392" t="str">
            <v>5100</v>
          </cell>
          <cell r="B392" t="str">
            <v>015500872</v>
          </cell>
          <cell r="C392">
            <v>1000</v>
          </cell>
          <cell r="D392">
            <v>2000</v>
          </cell>
          <cell r="E392">
            <v>0</v>
          </cell>
          <cell r="F392">
            <v>1000</v>
          </cell>
          <cell r="G392">
            <v>0</v>
          </cell>
          <cell r="H392">
            <v>0</v>
          </cell>
          <cell r="I392">
            <v>0</v>
          </cell>
          <cell r="J392">
            <v>2000</v>
          </cell>
          <cell r="K392">
            <v>0</v>
          </cell>
          <cell r="L392">
            <v>0</v>
          </cell>
          <cell r="M392">
            <v>0</v>
          </cell>
          <cell r="N392">
            <v>0</v>
          </cell>
        </row>
        <row r="393">
          <cell r="A393" t="str">
            <v>5100</v>
          </cell>
          <cell r="B393" t="str">
            <v>015501352</v>
          </cell>
          <cell r="C393">
            <v>1000</v>
          </cell>
          <cell r="D393">
            <v>1000</v>
          </cell>
          <cell r="E393">
            <v>0</v>
          </cell>
          <cell r="F393">
            <v>1000</v>
          </cell>
          <cell r="G393">
            <v>0</v>
          </cell>
          <cell r="H393">
            <v>0</v>
          </cell>
          <cell r="I393">
            <v>0</v>
          </cell>
          <cell r="J393">
            <v>0</v>
          </cell>
          <cell r="K393">
            <v>1000</v>
          </cell>
          <cell r="L393">
            <v>0</v>
          </cell>
          <cell r="M393">
            <v>0</v>
          </cell>
          <cell r="N393">
            <v>0</v>
          </cell>
        </row>
        <row r="394">
          <cell r="A394" t="str">
            <v>5100</v>
          </cell>
          <cell r="B394" t="str">
            <v>015501983</v>
          </cell>
          <cell r="C394">
            <v>1000</v>
          </cell>
          <cell r="D394">
            <v>0</v>
          </cell>
          <cell r="E394">
            <v>0</v>
          </cell>
          <cell r="F394">
            <v>1000</v>
          </cell>
          <cell r="G394">
            <v>0</v>
          </cell>
          <cell r="H394">
            <v>0</v>
          </cell>
          <cell r="I394">
            <v>0</v>
          </cell>
          <cell r="J394">
            <v>0</v>
          </cell>
          <cell r="K394">
            <v>0</v>
          </cell>
          <cell r="L394">
            <v>0</v>
          </cell>
          <cell r="M394">
            <v>0</v>
          </cell>
          <cell r="N394">
            <v>0</v>
          </cell>
        </row>
        <row r="395">
          <cell r="A395" t="str">
            <v>5100</v>
          </cell>
          <cell r="B395" t="str">
            <v>015501991</v>
          </cell>
          <cell r="C395">
            <v>1000</v>
          </cell>
          <cell r="D395">
            <v>0</v>
          </cell>
          <cell r="E395">
            <v>0</v>
          </cell>
          <cell r="F395">
            <v>1000</v>
          </cell>
          <cell r="G395">
            <v>0</v>
          </cell>
          <cell r="H395">
            <v>0</v>
          </cell>
          <cell r="I395">
            <v>0</v>
          </cell>
          <cell r="J395">
            <v>0</v>
          </cell>
          <cell r="K395">
            <v>0</v>
          </cell>
          <cell r="L395">
            <v>0</v>
          </cell>
          <cell r="M395">
            <v>0</v>
          </cell>
          <cell r="N395">
            <v>0</v>
          </cell>
        </row>
        <row r="396">
          <cell r="A396" t="str">
            <v>5100</v>
          </cell>
          <cell r="B396" t="str">
            <v>015502561</v>
          </cell>
          <cell r="C396">
            <v>1000</v>
          </cell>
          <cell r="D396">
            <v>1000</v>
          </cell>
          <cell r="E396">
            <v>0</v>
          </cell>
          <cell r="F396">
            <v>0</v>
          </cell>
          <cell r="G396">
            <v>1000</v>
          </cell>
          <cell r="H396">
            <v>0</v>
          </cell>
          <cell r="I396">
            <v>0</v>
          </cell>
          <cell r="J396">
            <v>1000</v>
          </cell>
          <cell r="K396">
            <v>0</v>
          </cell>
          <cell r="L396">
            <v>0</v>
          </cell>
          <cell r="M396">
            <v>0</v>
          </cell>
          <cell r="N396">
            <v>0</v>
          </cell>
        </row>
        <row r="397">
          <cell r="A397" t="str">
            <v>9420</v>
          </cell>
          <cell r="B397" t="str">
            <v>013807091</v>
          </cell>
          <cell r="C397">
            <v>1000</v>
          </cell>
          <cell r="D397">
            <v>0</v>
          </cell>
          <cell r="E397">
            <v>0</v>
          </cell>
          <cell r="F397">
            <v>0</v>
          </cell>
          <cell r="G397">
            <v>0</v>
          </cell>
          <cell r="H397">
            <v>1000</v>
          </cell>
          <cell r="I397">
            <v>0</v>
          </cell>
          <cell r="J397">
            <v>0</v>
          </cell>
          <cell r="K397">
            <v>0</v>
          </cell>
          <cell r="L397">
            <v>0</v>
          </cell>
          <cell r="M397">
            <v>0</v>
          </cell>
          <cell r="N397">
            <v>0</v>
          </cell>
        </row>
        <row r="398">
          <cell r="A398" t="str">
            <v>5100</v>
          </cell>
          <cell r="B398" t="str">
            <v>015502150</v>
          </cell>
          <cell r="C398">
            <v>900</v>
          </cell>
          <cell r="D398">
            <v>0</v>
          </cell>
          <cell r="E398">
            <v>0</v>
          </cell>
          <cell r="F398">
            <v>900</v>
          </cell>
          <cell r="G398">
            <v>0</v>
          </cell>
          <cell r="H398">
            <v>0</v>
          </cell>
          <cell r="I398">
            <v>0</v>
          </cell>
          <cell r="J398">
            <v>0</v>
          </cell>
          <cell r="K398">
            <v>0</v>
          </cell>
          <cell r="L398">
            <v>0</v>
          </cell>
          <cell r="M398">
            <v>0</v>
          </cell>
          <cell r="N398">
            <v>0</v>
          </cell>
        </row>
        <row r="399">
          <cell r="A399" t="str">
            <v>5100</v>
          </cell>
          <cell r="B399" t="str">
            <v>015502142</v>
          </cell>
          <cell r="C399">
            <v>800</v>
          </cell>
          <cell r="D399">
            <v>0</v>
          </cell>
          <cell r="E399">
            <v>0</v>
          </cell>
          <cell r="F399">
            <v>0</v>
          </cell>
          <cell r="G399">
            <v>800</v>
          </cell>
          <cell r="H399">
            <v>0</v>
          </cell>
          <cell r="I399">
            <v>0</v>
          </cell>
          <cell r="J399">
            <v>0</v>
          </cell>
          <cell r="K399">
            <v>0</v>
          </cell>
          <cell r="L399">
            <v>0</v>
          </cell>
          <cell r="M399">
            <v>0</v>
          </cell>
          <cell r="N399">
            <v>0</v>
          </cell>
        </row>
        <row r="400">
          <cell r="A400" t="str">
            <v>9410</v>
          </cell>
          <cell r="B400" t="str">
            <v>013807350</v>
          </cell>
          <cell r="C400">
            <v>800</v>
          </cell>
          <cell r="D400">
            <v>0</v>
          </cell>
          <cell r="E400">
            <v>0</v>
          </cell>
          <cell r="F400">
            <v>800</v>
          </cell>
          <cell r="G400">
            <v>0</v>
          </cell>
          <cell r="H400">
            <v>0</v>
          </cell>
          <cell r="I400">
            <v>0</v>
          </cell>
          <cell r="J400">
            <v>0</v>
          </cell>
          <cell r="K400">
            <v>0</v>
          </cell>
          <cell r="L400">
            <v>0</v>
          </cell>
          <cell r="M400">
            <v>0</v>
          </cell>
          <cell r="N400">
            <v>0</v>
          </cell>
        </row>
        <row r="401">
          <cell r="A401" t="str">
            <v>5100</v>
          </cell>
          <cell r="B401" t="str">
            <v>010901491</v>
          </cell>
          <cell r="C401">
            <v>700</v>
          </cell>
          <cell r="D401">
            <v>0</v>
          </cell>
          <cell r="E401">
            <v>0</v>
          </cell>
          <cell r="F401">
            <v>700</v>
          </cell>
          <cell r="G401">
            <v>0</v>
          </cell>
          <cell r="H401">
            <v>0</v>
          </cell>
          <cell r="I401">
            <v>0</v>
          </cell>
          <cell r="J401">
            <v>0</v>
          </cell>
          <cell r="K401">
            <v>0</v>
          </cell>
          <cell r="L401">
            <v>0</v>
          </cell>
          <cell r="M401">
            <v>0</v>
          </cell>
          <cell r="N401">
            <v>0</v>
          </cell>
        </row>
        <row r="402">
          <cell r="A402" t="str">
            <v>5100</v>
          </cell>
          <cell r="B402" t="str">
            <v>011401608</v>
          </cell>
          <cell r="C402">
            <v>700</v>
          </cell>
          <cell r="D402">
            <v>0</v>
          </cell>
          <cell r="E402">
            <v>0</v>
          </cell>
          <cell r="F402">
            <v>0</v>
          </cell>
          <cell r="G402">
            <v>700</v>
          </cell>
          <cell r="H402">
            <v>0</v>
          </cell>
          <cell r="I402">
            <v>0</v>
          </cell>
          <cell r="J402">
            <v>0</v>
          </cell>
          <cell r="K402">
            <v>0</v>
          </cell>
          <cell r="L402">
            <v>0</v>
          </cell>
          <cell r="M402">
            <v>0</v>
          </cell>
          <cell r="N402">
            <v>0</v>
          </cell>
        </row>
        <row r="403">
          <cell r="A403" t="str">
            <v>5100</v>
          </cell>
          <cell r="B403" t="str">
            <v>012900560</v>
          </cell>
          <cell r="C403">
            <v>700</v>
          </cell>
          <cell r="D403">
            <v>0</v>
          </cell>
          <cell r="E403">
            <v>0</v>
          </cell>
          <cell r="F403">
            <v>700</v>
          </cell>
          <cell r="G403">
            <v>0</v>
          </cell>
          <cell r="H403">
            <v>0</v>
          </cell>
          <cell r="I403">
            <v>0</v>
          </cell>
          <cell r="J403">
            <v>0</v>
          </cell>
          <cell r="K403">
            <v>0</v>
          </cell>
          <cell r="L403">
            <v>0</v>
          </cell>
          <cell r="M403">
            <v>0</v>
          </cell>
          <cell r="N403">
            <v>0</v>
          </cell>
        </row>
        <row r="404">
          <cell r="A404" t="str">
            <v>5100</v>
          </cell>
          <cell r="B404" t="str">
            <v>014000775</v>
          </cell>
          <cell r="C404">
            <v>700</v>
          </cell>
          <cell r="D404">
            <v>0</v>
          </cell>
          <cell r="E404">
            <v>0</v>
          </cell>
          <cell r="F404">
            <v>0</v>
          </cell>
          <cell r="G404">
            <v>700</v>
          </cell>
          <cell r="H404">
            <v>0</v>
          </cell>
          <cell r="I404">
            <v>0</v>
          </cell>
          <cell r="J404">
            <v>0</v>
          </cell>
          <cell r="K404">
            <v>0</v>
          </cell>
          <cell r="L404">
            <v>0</v>
          </cell>
          <cell r="M404">
            <v>0</v>
          </cell>
          <cell r="N404">
            <v>0</v>
          </cell>
        </row>
        <row r="405">
          <cell r="A405" t="str">
            <v>5100</v>
          </cell>
          <cell r="B405" t="str">
            <v>014701851</v>
          </cell>
          <cell r="C405">
            <v>700</v>
          </cell>
          <cell r="D405">
            <v>0</v>
          </cell>
          <cell r="E405">
            <v>0</v>
          </cell>
          <cell r="F405">
            <v>700</v>
          </cell>
          <cell r="G405">
            <v>0</v>
          </cell>
          <cell r="H405">
            <v>0</v>
          </cell>
          <cell r="I405">
            <v>0</v>
          </cell>
          <cell r="J405">
            <v>0</v>
          </cell>
          <cell r="K405">
            <v>0</v>
          </cell>
          <cell r="L405">
            <v>0</v>
          </cell>
          <cell r="M405">
            <v>0</v>
          </cell>
          <cell r="N405">
            <v>0</v>
          </cell>
        </row>
        <row r="406">
          <cell r="A406" t="str">
            <v>5100</v>
          </cell>
          <cell r="B406" t="str">
            <v>015100602</v>
          </cell>
          <cell r="C406">
            <v>700</v>
          </cell>
          <cell r="D406">
            <v>0</v>
          </cell>
          <cell r="E406">
            <v>0</v>
          </cell>
          <cell r="F406">
            <v>700</v>
          </cell>
          <cell r="G406">
            <v>0</v>
          </cell>
          <cell r="H406">
            <v>0</v>
          </cell>
          <cell r="I406">
            <v>0</v>
          </cell>
          <cell r="J406">
            <v>0</v>
          </cell>
          <cell r="K406">
            <v>0</v>
          </cell>
          <cell r="L406">
            <v>0</v>
          </cell>
          <cell r="M406">
            <v>0</v>
          </cell>
          <cell r="N406">
            <v>0</v>
          </cell>
        </row>
        <row r="407">
          <cell r="A407" t="str">
            <v>5100</v>
          </cell>
          <cell r="B407" t="str">
            <v>015101110</v>
          </cell>
          <cell r="C407">
            <v>700</v>
          </cell>
          <cell r="D407">
            <v>0</v>
          </cell>
          <cell r="E407">
            <v>0</v>
          </cell>
          <cell r="F407">
            <v>0</v>
          </cell>
          <cell r="G407">
            <v>700</v>
          </cell>
          <cell r="H407">
            <v>0</v>
          </cell>
          <cell r="I407">
            <v>0</v>
          </cell>
          <cell r="J407">
            <v>0</v>
          </cell>
          <cell r="K407">
            <v>0</v>
          </cell>
          <cell r="L407">
            <v>0</v>
          </cell>
          <cell r="M407">
            <v>0</v>
          </cell>
          <cell r="N407">
            <v>0</v>
          </cell>
        </row>
        <row r="408">
          <cell r="A408" t="str">
            <v>5100</v>
          </cell>
          <cell r="B408" t="str">
            <v>015101280</v>
          </cell>
          <cell r="C408">
            <v>700</v>
          </cell>
          <cell r="D408">
            <v>0</v>
          </cell>
          <cell r="E408">
            <v>0</v>
          </cell>
          <cell r="F408">
            <v>0</v>
          </cell>
          <cell r="G408">
            <v>700</v>
          </cell>
          <cell r="H408">
            <v>0</v>
          </cell>
          <cell r="I408">
            <v>0</v>
          </cell>
          <cell r="J408">
            <v>0</v>
          </cell>
          <cell r="K408">
            <v>0</v>
          </cell>
          <cell r="L408">
            <v>0</v>
          </cell>
          <cell r="M408">
            <v>0</v>
          </cell>
          <cell r="N408">
            <v>0</v>
          </cell>
        </row>
        <row r="409">
          <cell r="A409" t="str">
            <v>5100</v>
          </cell>
          <cell r="B409" t="str">
            <v>015101331</v>
          </cell>
          <cell r="C409">
            <v>700</v>
          </cell>
          <cell r="D409">
            <v>700</v>
          </cell>
          <cell r="E409">
            <v>0</v>
          </cell>
          <cell r="F409">
            <v>0</v>
          </cell>
          <cell r="G409">
            <v>700</v>
          </cell>
          <cell r="H409">
            <v>0</v>
          </cell>
          <cell r="I409">
            <v>0</v>
          </cell>
          <cell r="J409">
            <v>700</v>
          </cell>
          <cell r="K409">
            <v>0</v>
          </cell>
          <cell r="L409">
            <v>0</v>
          </cell>
          <cell r="M409">
            <v>0</v>
          </cell>
          <cell r="N409">
            <v>0</v>
          </cell>
        </row>
        <row r="410">
          <cell r="A410" t="str">
            <v>5100</v>
          </cell>
          <cell r="B410" t="str">
            <v>015101341</v>
          </cell>
          <cell r="C410">
            <v>700</v>
          </cell>
          <cell r="D410">
            <v>0</v>
          </cell>
          <cell r="E410">
            <v>0</v>
          </cell>
          <cell r="F410">
            <v>0</v>
          </cell>
          <cell r="G410">
            <v>0</v>
          </cell>
          <cell r="H410">
            <v>700</v>
          </cell>
          <cell r="I410">
            <v>0</v>
          </cell>
          <cell r="J410">
            <v>0</v>
          </cell>
          <cell r="K410">
            <v>0</v>
          </cell>
          <cell r="L410">
            <v>0</v>
          </cell>
          <cell r="M410">
            <v>0</v>
          </cell>
          <cell r="N410">
            <v>0</v>
          </cell>
        </row>
        <row r="411">
          <cell r="A411" t="str">
            <v>5100</v>
          </cell>
          <cell r="B411" t="str">
            <v>015502771</v>
          </cell>
          <cell r="C411">
            <v>700</v>
          </cell>
          <cell r="D411">
            <v>0</v>
          </cell>
          <cell r="E411">
            <v>0</v>
          </cell>
          <cell r="F411">
            <v>700</v>
          </cell>
          <cell r="G411">
            <v>0</v>
          </cell>
          <cell r="H411">
            <v>0</v>
          </cell>
          <cell r="I411">
            <v>0</v>
          </cell>
          <cell r="J411">
            <v>0</v>
          </cell>
          <cell r="K411">
            <v>0</v>
          </cell>
          <cell r="L411">
            <v>0</v>
          </cell>
          <cell r="M411">
            <v>0</v>
          </cell>
          <cell r="N411">
            <v>0</v>
          </cell>
        </row>
        <row r="412">
          <cell r="A412" t="str">
            <v>9410</v>
          </cell>
          <cell r="B412" t="str">
            <v>013809390</v>
          </cell>
          <cell r="C412">
            <v>700</v>
          </cell>
          <cell r="D412">
            <v>24000</v>
          </cell>
          <cell r="E412">
            <v>0</v>
          </cell>
          <cell r="F412">
            <v>700</v>
          </cell>
          <cell r="G412">
            <v>0</v>
          </cell>
          <cell r="H412">
            <v>0</v>
          </cell>
          <cell r="I412">
            <v>0</v>
          </cell>
          <cell r="J412">
            <v>0</v>
          </cell>
          <cell r="K412">
            <v>24000</v>
          </cell>
          <cell r="L412">
            <v>0</v>
          </cell>
          <cell r="M412">
            <v>0</v>
          </cell>
          <cell r="N412">
            <v>0</v>
          </cell>
        </row>
        <row r="413">
          <cell r="A413" t="str">
            <v>5100</v>
          </cell>
          <cell r="B413" t="str">
            <v>012900450</v>
          </cell>
          <cell r="C413">
            <v>600</v>
          </cell>
          <cell r="D413">
            <v>0</v>
          </cell>
          <cell r="E413">
            <v>0</v>
          </cell>
          <cell r="F413">
            <v>0</v>
          </cell>
          <cell r="G413">
            <v>600</v>
          </cell>
          <cell r="H413">
            <v>0</v>
          </cell>
          <cell r="I413">
            <v>0</v>
          </cell>
          <cell r="J413">
            <v>0</v>
          </cell>
          <cell r="K413">
            <v>0</v>
          </cell>
          <cell r="L413">
            <v>0</v>
          </cell>
          <cell r="M413">
            <v>0</v>
          </cell>
          <cell r="N413">
            <v>0</v>
          </cell>
        </row>
        <row r="414">
          <cell r="A414" t="str">
            <v>5100</v>
          </cell>
          <cell r="B414" t="str">
            <v>013806751</v>
          </cell>
          <cell r="C414">
            <v>600</v>
          </cell>
          <cell r="D414">
            <v>0</v>
          </cell>
          <cell r="E414">
            <v>0</v>
          </cell>
          <cell r="F414">
            <v>0</v>
          </cell>
          <cell r="G414">
            <v>600</v>
          </cell>
          <cell r="H414">
            <v>0</v>
          </cell>
          <cell r="I414">
            <v>0</v>
          </cell>
          <cell r="J414">
            <v>0</v>
          </cell>
          <cell r="K414">
            <v>0</v>
          </cell>
          <cell r="L414">
            <v>0</v>
          </cell>
          <cell r="M414">
            <v>0</v>
          </cell>
          <cell r="N414">
            <v>0</v>
          </cell>
        </row>
        <row r="415">
          <cell r="A415" t="str">
            <v>5100</v>
          </cell>
          <cell r="B415" t="str">
            <v>014001600</v>
          </cell>
          <cell r="C415">
            <v>600</v>
          </cell>
          <cell r="D415">
            <v>0</v>
          </cell>
          <cell r="E415">
            <v>0</v>
          </cell>
          <cell r="F415">
            <v>0</v>
          </cell>
          <cell r="G415">
            <v>600</v>
          </cell>
          <cell r="H415">
            <v>0</v>
          </cell>
          <cell r="I415">
            <v>0</v>
          </cell>
          <cell r="J415">
            <v>0</v>
          </cell>
          <cell r="K415">
            <v>0</v>
          </cell>
          <cell r="L415">
            <v>0</v>
          </cell>
          <cell r="M415">
            <v>0</v>
          </cell>
          <cell r="N415">
            <v>0</v>
          </cell>
        </row>
        <row r="416">
          <cell r="A416" t="str">
            <v>5100</v>
          </cell>
          <cell r="B416" t="str">
            <v>014002341</v>
          </cell>
          <cell r="C416">
            <v>600</v>
          </cell>
          <cell r="D416">
            <v>0</v>
          </cell>
          <cell r="E416">
            <v>0</v>
          </cell>
          <cell r="F416">
            <v>0</v>
          </cell>
          <cell r="G416">
            <v>600</v>
          </cell>
          <cell r="H416">
            <v>0</v>
          </cell>
          <cell r="I416">
            <v>0</v>
          </cell>
          <cell r="J416">
            <v>0</v>
          </cell>
          <cell r="K416">
            <v>0</v>
          </cell>
          <cell r="L416">
            <v>0</v>
          </cell>
          <cell r="M416">
            <v>0</v>
          </cell>
          <cell r="N416">
            <v>0</v>
          </cell>
        </row>
        <row r="417">
          <cell r="A417" t="str">
            <v>5100</v>
          </cell>
          <cell r="B417" t="str">
            <v>014701880</v>
          </cell>
          <cell r="C417">
            <v>600</v>
          </cell>
          <cell r="D417">
            <v>0</v>
          </cell>
          <cell r="E417">
            <v>0</v>
          </cell>
          <cell r="F417">
            <v>600</v>
          </cell>
          <cell r="G417">
            <v>0</v>
          </cell>
          <cell r="H417">
            <v>0</v>
          </cell>
          <cell r="I417">
            <v>0</v>
          </cell>
          <cell r="J417">
            <v>0</v>
          </cell>
          <cell r="K417">
            <v>0</v>
          </cell>
          <cell r="L417">
            <v>0</v>
          </cell>
          <cell r="M417">
            <v>0</v>
          </cell>
          <cell r="N417">
            <v>0</v>
          </cell>
        </row>
        <row r="418">
          <cell r="A418" t="str">
            <v>5100</v>
          </cell>
          <cell r="B418" t="str">
            <v>015202970</v>
          </cell>
          <cell r="C418">
            <v>600</v>
          </cell>
          <cell r="D418">
            <v>0</v>
          </cell>
          <cell r="E418">
            <v>0</v>
          </cell>
          <cell r="F418">
            <v>0</v>
          </cell>
          <cell r="G418">
            <v>0</v>
          </cell>
          <cell r="H418">
            <v>600</v>
          </cell>
          <cell r="I418">
            <v>0</v>
          </cell>
          <cell r="J418">
            <v>0</v>
          </cell>
          <cell r="K418">
            <v>0</v>
          </cell>
          <cell r="L418">
            <v>0</v>
          </cell>
          <cell r="M418">
            <v>0</v>
          </cell>
          <cell r="N418">
            <v>0</v>
          </cell>
        </row>
        <row r="419">
          <cell r="A419" t="str">
            <v>5100</v>
          </cell>
          <cell r="B419" t="str">
            <v>015202980</v>
          </cell>
          <cell r="C419">
            <v>600</v>
          </cell>
          <cell r="D419">
            <v>0</v>
          </cell>
          <cell r="E419">
            <v>0</v>
          </cell>
          <cell r="F419">
            <v>0</v>
          </cell>
          <cell r="G419">
            <v>0</v>
          </cell>
          <cell r="H419">
            <v>600</v>
          </cell>
          <cell r="I419">
            <v>0</v>
          </cell>
          <cell r="J419">
            <v>0</v>
          </cell>
          <cell r="K419">
            <v>0</v>
          </cell>
          <cell r="L419">
            <v>0</v>
          </cell>
          <cell r="M419">
            <v>0</v>
          </cell>
          <cell r="N419">
            <v>0</v>
          </cell>
        </row>
        <row r="420">
          <cell r="A420" t="str">
            <v>5100</v>
          </cell>
          <cell r="B420" t="str">
            <v>015300111</v>
          </cell>
          <cell r="C420">
            <v>600</v>
          </cell>
          <cell r="D420">
            <v>0</v>
          </cell>
          <cell r="E420">
            <v>0</v>
          </cell>
          <cell r="F420">
            <v>300</v>
          </cell>
          <cell r="G420">
            <v>0</v>
          </cell>
          <cell r="H420">
            <v>300</v>
          </cell>
          <cell r="I420">
            <v>0</v>
          </cell>
          <cell r="J420">
            <v>0</v>
          </cell>
          <cell r="K420">
            <v>0</v>
          </cell>
          <cell r="L420">
            <v>0</v>
          </cell>
          <cell r="M420">
            <v>0</v>
          </cell>
          <cell r="N420">
            <v>0</v>
          </cell>
        </row>
        <row r="421">
          <cell r="A421" t="str">
            <v>5100</v>
          </cell>
          <cell r="B421" t="str">
            <v>015502542</v>
          </cell>
          <cell r="C421">
            <v>600</v>
          </cell>
          <cell r="D421">
            <v>0</v>
          </cell>
          <cell r="E421">
            <v>0</v>
          </cell>
          <cell r="F421">
            <v>600</v>
          </cell>
          <cell r="G421">
            <v>0</v>
          </cell>
          <cell r="H421">
            <v>0</v>
          </cell>
          <cell r="I421">
            <v>0</v>
          </cell>
          <cell r="J421">
            <v>0</v>
          </cell>
          <cell r="K421">
            <v>0</v>
          </cell>
          <cell r="L421">
            <v>0</v>
          </cell>
          <cell r="M421">
            <v>0</v>
          </cell>
          <cell r="N421">
            <v>0</v>
          </cell>
        </row>
        <row r="422">
          <cell r="A422" t="str">
            <v>9410</v>
          </cell>
          <cell r="B422" t="str">
            <v>010602060</v>
          </cell>
          <cell r="C422">
            <v>600</v>
          </cell>
          <cell r="D422">
            <v>0</v>
          </cell>
          <cell r="E422">
            <v>0</v>
          </cell>
          <cell r="F422">
            <v>0</v>
          </cell>
          <cell r="G422">
            <v>0</v>
          </cell>
          <cell r="H422">
            <v>600</v>
          </cell>
          <cell r="I422">
            <v>0</v>
          </cell>
          <cell r="J422">
            <v>0</v>
          </cell>
          <cell r="K422">
            <v>0</v>
          </cell>
          <cell r="L422">
            <v>0</v>
          </cell>
          <cell r="M422">
            <v>0</v>
          </cell>
          <cell r="N422">
            <v>0</v>
          </cell>
        </row>
        <row r="423">
          <cell r="A423" t="str">
            <v>9410</v>
          </cell>
          <cell r="B423" t="str">
            <v>010602370</v>
          </cell>
          <cell r="C423">
            <v>600</v>
          </cell>
          <cell r="D423">
            <v>0</v>
          </cell>
          <cell r="E423">
            <v>0</v>
          </cell>
          <cell r="F423">
            <v>0</v>
          </cell>
          <cell r="G423">
            <v>0</v>
          </cell>
          <cell r="H423">
            <v>600</v>
          </cell>
          <cell r="I423">
            <v>0</v>
          </cell>
          <cell r="J423">
            <v>0</v>
          </cell>
          <cell r="K423">
            <v>0</v>
          </cell>
          <cell r="L423">
            <v>0</v>
          </cell>
          <cell r="M423">
            <v>0</v>
          </cell>
          <cell r="N423">
            <v>0</v>
          </cell>
        </row>
        <row r="424">
          <cell r="A424" t="str">
            <v>9410</v>
          </cell>
          <cell r="B424" t="str">
            <v>015600240</v>
          </cell>
          <cell r="C424">
            <v>600</v>
          </cell>
          <cell r="D424">
            <v>0</v>
          </cell>
          <cell r="E424">
            <v>0</v>
          </cell>
          <cell r="F424">
            <v>600</v>
          </cell>
          <cell r="G424">
            <v>0</v>
          </cell>
          <cell r="H424">
            <v>0</v>
          </cell>
          <cell r="I424">
            <v>0</v>
          </cell>
          <cell r="J424">
            <v>0</v>
          </cell>
          <cell r="K424">
            <v>0</v>
          </cell>
          <cell r="L424">
            <v>0</v>
          </cell>
          <cell r="M424">
            <v>0</v>
          </cell>
          <cell r="N424">
            <v>0</v>
          </cell>
        </row>
        <row r="425">
          <cell r="A425" t="str">
            <v>5100</v>
          </cell>
          <cell r="B425" t="str">
            <v>012900460</v>
          </cell>
          <cell r="C425">
            <v>500</v>
          </cell>
          <cell r="D425">
            <v>0</v>
          </cell>
          <cell r="E425">
            <v>0</v>
          </cell>
          <cell r="F425">
            <v>0</v>
          </cell>
          <cell r="G425">
            <v>500</v>
          </cell>
          <cell r="H425">
            <v>0</v>
          </cell>
          <cell r="I425">
            <v>0</v>
          </cell>
          <cell r="J425">
            <v>0</v>
          </cell>
          <cell r="K425">
            <v>0</v>
          </cell>
          <cell r="L425">
            <v>0</v>
          </cell>
          <cell r="M425">
            <v>0</v>
          </cell>
          <cell r="N425">
            <v>0</v>
          </cell>
        </row>
        <row r="426">
          <cell r="A426" t="str">
            <v>5100</v>
          </cell>
          <cell r="B426" t="str">
            <v>012900570</v>
          </cell>
          <cell r="C426">
            <v>500</v>
          </cell>
          <cell r="D426">
            <v>0</v>
          </cell>
          <cell r="E426">
            <v>0</v>
          </cell>
          <cell r="F426">
            <v>500</v>
          </cell>
          <cell r="G426">
            <v>0</v>
          </cell>
          <cell r="H426">
            <v>0</v>
          </cell>
          <cell r="I426">
            <v>0</v>
          </cell>
          <cell r="J426">
            <v>0</v>
          </cell>
          <cell r="K426">
            <v>0</v>
          </cell>
          <cell r="L426">
            <v>0</v>
          </cell>
          <cell r="M426">
            <v>0</v>
          </cell>
          <cell r="N426">
            <v>0</v>
          </cell>
        </row>
        <row r="427">
          <cell r="A427" t="str">
            <v>5100</v>
          </cell>
          <cell r="B427" t="str">
            <v>014000723</v>
          </cell>
          <cell r="C427">
            <v>500</v>
          </cell>
          <cell r="D427">
            <v>0</v>
          </cell>
          <cell r="E427">
            <v>0</v>
          </cell>
          <cell r="F427">
            <v>0</v>
          </cell>
          <cell r="G427">
            <v>0</v>
          </cell>
          <cell r="H427">
            <v>500</v>
          </cell>
          <cell r="I427">
            <v>0</v>
          </cell>
          <cell r="J427">
            <v>0</v>
          </cell>
          <cell r="K427">
            <v>0</v>
          </cell>
          <cell r="L427">
            <v>0</v>
          </cell>
          <cell r="M427">
            <v>0</v>
          </cell>
          <cell r="N427">
            <v>0</v>
          </cell>
        </row>
        <row r="428">
          <cell r="A428" t="str">
            <v>5100</v>
          </cell>
          <cell r="B428" t="str">
            <v>014000972</v>
          </cell>
          <cell r="C428">
            <v>500</v>
          </cell>
          <cell r="D428">
            <v>0</v>
          </cell>
          <cell r="E428">
            <v>0</v>
          </cell>
          <cell r="F428">
            <v>500</v>
          </cell>
          <cell r="G428">
            <v>0</v>
          </cell>
          <cell r="H428">
            <v>0</v>
          </cell>
          <cell r="I428">
            <v>0</v>
          </cell>
          <cell r="J428">
            <v>0</v>
          </cell>
          <cell r="K428">
            <v>0</v>
          </cell>
          <cell r="L428">
            <v>0</v>
          </cell>
          <cell r="M428">
            <v>0</v>
          </cell>
          <cell r="N428">
            <v>0</v>
          </cell>
        </row>
        <row r="429">
          <cell r="A429" t="str">
            <v>5100</v>
          </cell>
          <cell r="B429" t="str">
            <v>014400790</v>
          </cell>
          <cell r="C429">
            <v>500</v>
          </cell>
          <cell r="D429">
            <v>0</v>
          </cell>
          <cell r="E429">
            <v>0</v>
          </cell>
          <cell r="F429">
            <v>0</v>
          </cell>
          <cell r="G429">
            <v>0</v>
          </cell>
          <cell r="H429">
            <v>500</v>
          </cell>
          <cell r="I429">
            <v>0</v>
          </cell>
          <cell r="J429">
            <v>0</v>
          </cell>
          <cell r="K429">
            <v>0</v>
          </cell>
          <cell r="L429">
            <v>0</v>
          </cell>
          <cell r="M429">
            <v>0</v>
          </cell>
          <cell r="N429">
            <v>0</v>
          </cell>
        </row>
        <row r="430">
          <cell r="A430" t="str">
            <v>5100</v>
          </cell>
          <cell r="B430" t="str">
            <v>014701252</v>
          </cell>
          <cell r="C430">
            <v>500</v>
          </cell>
          <cell r="D430">
            <v>0</v>
          </cell>
          <cell r="E430">
            <v>0</v>
          </cell>
          <cell r="F430">
            <v>0</v>
          </cell>
          <cell r="G430">
            <v>500</v>
          </cell>
          <cell r="H430">
            <v>0</v>
          </cell>
          <cell r="I430">
            <v>0</v>
          </cell>
          <cell r="J430">
            <v>0</v>
          </cell>
          <cell r="K430">
            <v>0</v>
          </cell>
          <cell r="L430">
            <v>0</v>
          </cell>
          <cell r="M430">
            <v>0</v>
          </cell>
          <cell r="N430">
            <v>0</v>
          </cell>
        </row>
        <row r="431">
          <cell r="A431" t="str">
            <v>5100</v>
          </cell>
          <cell r="B431" t="str">
            <v>014701504</v>
          </cell>
          <cell r="C431">
            <v>500</v>
          </cell>
          <cell r="D431">
            <v>0</v>
          </cell>
          <cell r="E431">
            <v>0</v>
          </cell>
          <cell r="F431">
            <v>500</v>
          </cell>
          <cell r="G431">
            <v>0</v>
          </cell>
          <cell r="H431">
            <v>0</v>
          </cell>
          <cell r="I431">
            <v>0</v>
          </cell>
          <cell r="J431">
            <v>0</v>
          </cell>
          <cell r="K431">
            <v>0</v>
          </cell>
          <cell r="L431">
            <v>0</v>
          </cell>
          <cell r="M431">
            <v>0</v>
          </cell>
          <cell r="N431">
            <v>0</v>
          </cell>
        </row>
        <row r="432">
          <cell r="A432" t="str">
            <v>5100</v>
          </cell>
          <cell r="B432" t="str">
            <v>014703201</v>
          </cell>
          <cell r="C432">
            <v>500</v>
          </cell>
          <cell r="D432">
            <v>0</v>
          </cell>
          <cell r="E432">
            <v>0</v>
          </cell>
          <cell r="F432">
            <v>500</v>
          </cell>
          <cell r="G432">
            <v>0</v>
          </cell>
          <cell r="H432">
            <v>0</v>
          </cell>
          <cell r="I432">
            <v>0</v>
          </cell>
          <cell r="J432">
            <v>0</v>
          </cell>
          <cell r="K432">
            <v>0</v>
          </cell>
          <cell r="L432">
            <v>0</v>
          </cell>
          <cell r="M432">
            <v>0</v>
          </cell>
          <cell r="N432">
            <v>0</v>
          </cell>
        </row>
        <row r="433">
          <cell r="A433" t="str">
            <v>5100</v>
          </cell>
          <cell r="B433" t="str">
            <v>015201981</v>
          </cell>
          <cell r="C433">
            <v>500</v>
          </cell>
          <cell r="D433">
            <v>0</v>
          </cell>
          <cell r="E433">
            <v>0</v>
          </cell>
          <cell r="F433">
            <v>500</v>
          </cell>
          <cell r="G433">
            <v>0</v>
          </cell>
          <cell r="H433">
            <v>0</v>
          </cell>
          <cell r="I433">
            <v>0</v>
          </cell>
          <cell r="J433">
            <v>0</v>
          </cell>
          <cell r="K433">
            <v>0</v>
          </cell>
          <cell r="L433">
            <v>0</v>
          </cell>
          <cell r="M433">
            <v>0</v>
          </cell>
          <cell r="N433">
            <v>0</v>
          </cell>
        </row>
        <row r="434">
          <cell r="A434" t="str">
            <v>5100</v>
          </cell>
          <cell r="B434" t="str">
            <v>015500852</v>
          </cell>
          <cell r="C434">
            <v>500</v>
          </cell>
          <cell r="D434">
            <v>0</v>
          </cell>
          <cell r="E434">
            <v>0</v>
          </cell>
          <cell r="F434">
            <v>0</v>
          </cell>
          <cell r="G434">
            <v>500</v>
          </cell>
          <cell r="H434">
            <v>0</v>
          </cell>
          <cell r="I434">
            <v>0</v>
          </cell>
          <cell r="J434">
            <v>0</v>
          </cell>
          <cell r="K434">
            <v>0</v>
          </cell>
          <cell r="L434">
            <v>0</v>
          </cell>
          <cell r="M434">
            <v>0</v>
          </cell>
          <cell r="N434">
            <v>0</v>
          </cell>
        </row>
        <row r="435">
          <cell r="A435" t="str">
            <v>5100</v>
          </cell>
          <cell r="B435" t="str">
            <v>015502163</v>
          </cell>
          <cell r="C435">
            <v>500</v>
          </cell>
          <cell r="D435">
            <v>0</v>
          </cell>
          <cell r="E435">
            <v>0</v>
          </cell>
          <cell r="F435">
            <v>500</v>
          </cell>
          <cell r="G435">
            <v>0</v>
          </cell>
          <cell r="H435">
            <v>0</v>
          </cell>
          <cell r="I435">
            <v>0</v>
          </cell>
          <cell r="J435">
            <v>0</v>
          </cell>
          <cell r="K435">
            <v>0</v>
          </cell>
          <cell r="L435">
            <v>0</v>
          </cell>
          <cell r="M435">
            <v>0</v>
          </cell>
          <cell r="N435">
            <v>0</v>
          </cell>
        </row>
        <row r="436">
          <cell r="A436" t="str">
            <v>5100</v>
          </cell>
          <cell r="B436" t="str">
            <v>014702780</v>
          </cell>
          <cell r="C436">
            <v>450</v>
          </cell>
          <cell r="D436">
            <v>0</v>
          </cell>
          <cell r="E436">
            <v>0</v>
          </cell>
          <cell r="F436">
            <v>0</v>
          </cell>
          <cell r="G436">
            <v>450</v>
          </cell>
          <cell r="H436">
            <v>0</v>
          </cell>
          <cell r="I436">
            <v>0</v>
          </cell>
          <cell r="J436">
            <v>0</v>
          </cell>
          <cell r="K436">
            <v>0</v>
          </cell>
          <cell r="L436">
            <v>0</v>
          </cell>
          <cell r="M436">
            <v>0</v>
          </cell>
          <cell r="N436">
            <v>0</v>
          </cell>
        </row>
        <row r="437">
          <cell r="A437" t="str">
            <v>5100</v>
          </cell>
          <cell r="B437" t="str">
            <v>011402910</v>
          </cell>
          <cell r="C437">
            <v>400</v>
          </cell>
          <cell r="D437">
            <v>0</v>
          </cell>
          <cell r="E437">
            <v>0</v>
          </cell>
          <cell r="F437">
            <v>400</v>
          </cell>
          <cell r="G437">
            <v>0</v>
          </cell>
          <cell r="H437">
            <v>0</v>
          </cell>
          <cell r="I437">
            <v>0</v>
          </cell>
          <cell r="J437">
            <v>0</v>
          </cell>
          <cell r="K437">
            <v>0</v>
          </cell>
          <cell r="L437">
            <v>0</v>
          </cell>
          <cell r="M437">
            <v>0</v>
          </cell>
          <cell r="N437">
            <v>0</v>
          </cell>
        </row>
        <row r="438">
          <cell r="A438" t="str">
            <v>5100</v>
          </cell>
          <cell r="B438" t="str">
            <v>011404551</v>
          </cell>
          <cell r="C438">
            <v>400</v>
          </cell>
          <cell r="D438">
            <v>0</v>
          </cell>
          <cell r="E438">
            <v>0</v>
          </cell>
          <cell r="F438">
            <v>0</v>
          </cell>
          <cell r="G438">
            <v>400</v>
          </cell>
          <cell r="H438">
            <v>0</v>
          </cell>
          <cell r="I438">
            <v>0</v>
          </cell>
          <cell r="J438">
            <v>0</v>
          </cell>
          <cell r="K438">
            <v>0</v>
          </cell>
          <cell r="L438">
            <v>0</v>
          </cell>
          <cell r="M438">
            <v>0</v>
          </cell>
          <cell r="N438">
            <v>0</v>
          </cell>
        </row>
        <row r="439">
          <cell r="A439" t="str">
            <v>5100</v>
          </cell>
          <cell r="B439" t="str">
            <v>012700580</v>
          </cell>
          <cell r="C439">
            <v>400</v>
          </cell>
          <cell r="D439">
            <v>0</v>
          </cell>
          <cell r="E439">
            <v>0</v>
          </cell>
          <cell r="F439">
            <v>0</v>
          </cell>
          <cell r="G439">
            <v>400</v>
          </cell>
          <cell r="H439">
            <v>0</v>
          </cell>
          <cell r="I439">
            <v>0</v>
          </cell>
          <cell r="J439">
            <v>0</v>
          </cell>
          <cell r="K439">
            <v>0</v>
          </cell>
          <cell r="L439">
            <v>0</v>
          </cell>
          <cell r="M439">
            <v>0</v>
          </cell>
          <cell r="N439">
            <v>0</v>
          </cell>
        </row>
        <row r="440">
          <cell r="A440" t="str">
            <v>5100</v>
          </cell>
          <cell r="B440" t="str">
            <v>013701690</v>
          </cell>
          <cell r="C440">
            <v>400</v>
          </cell>
          <cell r="D440">
            <v>0</v>
          </cell>
          <cell r="E440">
            <v>0</v>
          </cell>
          <cell r="F440">
            <v>400</v>
          </cell>
          <cell r="G440">
            <v>0</v>
          </cell>
          <cell r="H440">
            <v>0</v>
          </cell>
          <cell r="I440">
            <v>0</v>
          </cell>
          <cell r="J440">
            <v>0</v>
          </cell>
          <cell r="K440">
            <v>0</v>
          </cell>
          <cell r="L440">
            <v>0</v>
          </cell>
          <cell r="M440">
            <v>0</v>
          </cell>
          <cell r="N440">
            <v>0</v>
          </cell>
        </row>
        <row r="441">
          <cell r="A441" t="str">
            <v>5100</v>
          </cell>
          <cell r="B441" t="str">
            <v>015502012</v>
          </cell>
          <cell r="C441">
            <v>400</v>
          </cell>
          <cell r="D441">
            <v>0</v>
          </cell>
          <cell r="E441">
            <v>0</v>
          </cell>
          <cell r="F441">
            <v>400</v>
          </cell>
          <cell r="G441">
            <v>0</v>
          </cell>
          <cell r="H441">
            <v>0</v>
          </cell>
          <cell r="I441">
            <v>0</v>
          </cell>
          <cell r="J441">
            <v>0</v>
          </cell>
          <cell r="K441">
            <v>0</v>
          </cell>
          <cell r="L441">
            <v>0</v>
          </cell>
          <cell r="M441">
            <v>0</v>
          </cell>
          <cell r="N441">
            <v>0</v>
          </cell>
        </row>
        <row r="442">
          <cell r="A442" t="str">
            <v>5100</v>
          </cell>
          <cell r="B442" t="str">
            <v>013701760</v>
          </cell>
          <cell r="C442">
            <v>320</v>
          </cell>
          <cell r="D442">
            <v>0</v>
          </cell>
          <cell r="E442">
            <v>0</v>
          </cell>
          <cell r="F442">
            <v>320</v>
          </cell>
          <cell r="G442">
            <v>0</v>
          </cell>
          <cell r="H442">
            <v>0</v>
          </cell>
          <cell r="I442">
            <v>0</v>
          </cell>
          <cell r="J442">
            <v>0</v>
          </cell>
          <cell r="K442">
            <v>0</v>
          </cell>
          <cell r="L442">
            <v>0</v>
          </cell>
          <cell r="M442">
            <v>0</v>
          </cell>
          <cell r="N442">
            <v>0</v>
          </cell>
        </row>
        <row r="443">
          <cell r="A443" t="str">
            <v>5100</v>
          </cell>
          <cell r="B443" t="str">
            <v>011301471</v>
          </cell>
          <cell r="C443">
            <v>300</v>
          </cell>
          <cell r="D443">
            <v>0</v>
          </cell>
          <cell r="E443">
            <v>0</v>
          </cell>
          <cell r="F443">
            <v>0</v>
          </cell>
          <cell r="G443">
            <v>300</v>
          </cell>
          <cell r="H443">
            <v>0</v>
          </cell>
          <cell r="I443">
            <v>0</v>
          </cell>
          <cell r="J443">
            <v>0</v>
          </cell>
          <cell r="K443">
            <v>0</v>
          </cell>
          <cell r="L443">
            <v>0</v>
          </cell>
          <cell r="M443">
            <v>0</v>
          </cell>
          <cell r="N443">
            <v>0</v>
          </cell>
        </row>
        <row r="444">
          <cell r="A444" t="str">
            <v>5100</v>
          </cell>
          <cell r="B444" t="str">
            <v>011302311</v>
          </cell>
          <cell r="C444">
            <v>300</v>
          </cell>
          <cell r="D444">
            <v>0</v>
          </cell>
          <cell r="E444">
            <v>0</v>
          </cell>
          <cell r="F444">
            <v>0</v>
          </cell>
          <cell r="G444">
            <v>300</v>
          </cell>
          <cell r="H444">
            <v>0</v>
          </cell>
          <cell r="I444">
            <v>0</v>
          </cell>
          <cell r="J444">
            <v>0</v>
          </cell>
          <cell r="K444">
            <v>0</v>
          </cell>
          <cell r="L444">
            <v>0</v>
          </cell>
          <cell r="M444">
            <v>0</v>
          </cell>
          <cell r="N444">
            <v>0</v>
          </cell>
        </row>
        <row r="445">
          <cell r="A445" t="str">
            <v>5100</v>
          </cell>
          <cell r="B445" t="str">
            <v>011302341</v>
          </cell>
          <cell r="C445">
            <v>300</v>
          </cell>
          <cell r="D445">
            <v>0</v>
          </cell>
          <cell r="E445">
            <v>0</v>
          </cell>
          <cell r="F445">
            <v>0</v>
          </cell>
          <cell r="G445">
            <v>300</v>
          </cell>
          <cell r="H445">
            <v>0</v>
          </cell>
          <cell r="I445">
            <v>0</v>
          </cell>
          <cell r="J445">
            <v>0</v>
          </cell>
          <cell r="K445">
            <v>0</v>
          </cell>
          <cell r="L445">
            <v>0</v>
          </cell>
          <cell r="M445">
            <v>0</v>
          </cell>
          <cell r="N445">
            <v>0</v>
          </cell>
        </row>
        <row r="446">
          <cell r="A446" t="str">
            <v>5100</v>
          </cell>
          <cell r="B446" t="str">
            <v>011404241</v>
          </cell>
          <cell r="C446">
            <v>300</v>
          </cell>
          <cell r="D446">
            <v>0</v>
          </cell>
          <cell r="E446">
            <v>0</v>
          </cell>
          <cell r="F446">
            <v>0</v>
          </cell>
          <cell r="G446">
            <v>300</v>
          </cell>
          <cell r="H446">
            <v>0</v>
          </cell>
          <cell r="I446">
            <v>0</v>
          </cell>
          <cell r="J446">
            <v>0</v>
          </cell>
          <cell r="K446">
            <v>0</v>
          </cell>
          <cell r="L446">
            <v>0</v>
          </cell>
          <cell r="M446">
            <v>0</v>
          </cell>
          <cell r="N446">
            <v>0</v>
          </cell>
        </row>
        <row r="447">
          <cell r="A447" t="str">
            <v>5100</v>
          </cell>
          <cell r="B447" t="str">
            <v>011404250</v>
          </cell>
          <cell r="C447">
            <v>300</v>
          </cell>
          <cell r="D447">
            <v>0</v>
          </cell>
          <cell r="E447">
            <v>0</v>
          </cell>
          <cell r="F447">
            <v>0</v>
          </cell>
          <cell r="G447">
            <v>300</v>
          </cell>
          <cell r="H447">
            <v>0</v>
          </cell>
          <cell r="I447">
            <v>0</v>
          </cell>
          <cell r="J447">
            <v>0</v>
          </cell>
          <cell r="K447">
            <v>0</v>
          </cell>
          <cell r="L447">
            <v>0</v>
          </cell>
          <cell r="M447">
            <v>0</v>
          </cell>
          <cell r="N447">
            <v>0</v>
          </cell>
        </row>
        <row r="448">
          <cell r="A448" t="str">
            <v>5100</v>
          </cell>
          <cell r="B448" t="str">
            <v>012601030</v>
          </cell>
          <cell r="C448">
            <v>300</v>
          </cell>
          <cell r="D448">
            <v>300</v>
          </cell>
          <cell r="E448">
            <v>0</v>
          </cell>
          <cell r="F448">
            <v>0</v>
          </cell>
          <cell r="G448">
            <v>0</v>
          </cell>
          <cell r="H448">
            <v>300</v>
          </cell>
          <cell r="I448">
            <v>300</v>
          </cell>
          <cell r="J448">
            <v>0</v>
          </cell>
          <cell r="K448">
            <v>0</v>
          </cell>
          <cell r="L448">
            <v>0</v>
          </cell>
          <cell r="M448">
            <v>0</v>
          </cell>
          <cell r="N448">
            <v>0</v>
          </cell>
        </row>
        <row r="449">
          <cell r="A449" t="str">
            <v>5100</v>
          </cell>
          <cell r="B449" t="str">
            <v>012601100</v>
          </cell>
          <cell r="C449">
            <v>300</v>
          </cell>
          <cell r="D449">
            <v>0</v>
          </cell>
          <cell r="E449">
            <v>0</v>
          </cell>
          <cell r="F449">
            <v>300</v>
          </cell>
          <cell r="G449">
            <v>0</v>
          </cell>
          <cell r="H449">
            <v>0</v>
          </cell>
          <cell r="I449">
            <v>0</v>
          </cell>
          <cell r="J449">
            <v>0</v>
          </cell>
          <cell r="K449">
            <v>0</v>
          </cell>
          <cell r="L449">
            <v>0</v>
          </cell>
          <cell r="M449">
            <v>0</v>
          </cell>
          <cell r="N449">
            <v>0</v>
          </cell>
        </row>
        <row r="450">
          <cell r="A450" t="str">
            <v>5100</v>
          </cell>
          <cell r="B450" t="str">
            <v>012700400</v>
          </cell>
          <cell r="C450">
            <v>300</v>
          </cell>
          <cell r="D450">
            <v>0</v>
          </cell>
          <cell r="E450">
            <v>0</v>
          </cell>
          <cell r="F450">
            <v>300</v>
          </cell>
          <cell r="G450">
            <v>0</v>
          </cell>
          <cell r="H450">
            <v>0</v>
          </cell>
          <cell r="I450">
            <v>0</v>
          </cell>
          <cell r="J450">
            <v>0</v>
          </cell>
          <cell r="K450">
            <v>0</v>
          </cell>
          <cell r="L450">
            <v>0</v>
          </cell>
          <cell r="M450">
            <v>0</v>
          </cell>
          <cell r="N450">
            <v>0</v>
          </cell>
        </row>
        <row r="451">
          <cell r="A451" t="str">
            <v>5100</v>
          </cell>
          <cell r="B451" t="str">
            <v>012700410</v>
          </cell>
          <cell r="C451">
            <v>300</v>
          </cell>
          <cell r="D451">
            <v>0</v>
          </cell>
          <cell r="E451">
            <v>0</v>
          </cell>
          <cell r="F451">
            <v>300</v>
          </cell>
          <cell r="G451">
            <v>0</v>
          </cell>
          <cell r="H451">
            <v>0</v>
          </cell>
          <cell r="I451">
            <v>0</v>
          </cell>
          <cell r="J451">
            <v>0</v>
          </cell>
          <cell r="K451">
            <v>0</v>
          </cell>
          <cell r="L451">
            <v>0</v>
          </cell>
          <cell r="M451">
            <v>0</v>
          </cell>
          <cell r="N451">
            <v>0</v>
          </cell>
        </row>
        <row r="452">
          <cell r="A452" t="str">
            <v>5100</v>
          </cell>
          <cell r="B452" t="str">
            <v>012700430</v>
          </cell>
          <cell r="C452">
            <v>300</v>
          </cell>
          <cell r="D452">
            <v>0</v>
          </cell>
          <cell r="E452">
            <v>0</v>
          </cell>
          <cell r="F452">
            <v>300</v>
          </cell>
          <cell r="G452">
            <v>0</v>
          </cell>
          <cell r="H452">
            <v>0</v>
          </cell>
          <cell r="I452">
            <v>0</v>
          </cell>
          <cell r="J452">
            <v>0</v>
          </cell>
          <cell r="K452">
            <v>0</v>
          </cell>
          <cell r="L452">
            <v>0</v>
          </cell>
          <cell r="M452">
            <v>0</v>
          </cell>
          <cell r="N452">
            <v>0</v>
          </cell>
        </row>
        <row r="453">
          <cell r="A453" t="str">
            <v>5100</v>
          </cell>
          <cell r="B453" t="str">
            <v>014001361</v>
          </cell>
          <cell r="C453">
            <v>300</v>
          </cell>
          <cell r="D453">
            <v>0</v>
          </cell>
          <cell r="E453">
            <v>0</v>
          </cell>
          <cell r="F453">
            <v>0</v>
          </cell>
          <cell r="G453">
            <v>300</v>
          </cell>
          <cell r="H453">
            <v>0</v>
          </cell>
          <cell r="I453">
            <v>0</v>
          </cell>
          <cell r="J453">
            <v>0</v>
          </cell>
          <cell r="K453">
            <v>0</v>
          </cell>
          <cell r="L453">
            <v>0</v>
          </cell>
          <cell r="M453">
            <v>0</v>
          </cell>
          <cell r="N453">
            <v>0</v>
          </cell>
        </row>
        <row r="454">
          <cell r="A454" t="str">
            <v>5100</v>
          </cell>
          <cell r="B454" t="str">
            <v>014400640</v>
          </cell>
          <cell r="C454">
            <v>300</v>
          </cell>
          <cell r="D454">
            <v>0</v>
          </cell>
          <cell r="E454">
            <v>0</v>
          </cell>
          <cell r="F454">
            <v>300</v>
          </cell>
          <cell r="G454">
            <v>0</v>
          </cell>
          <cell r="H454">
            <v>0</v>
          </cell>
          <cell r="I454">
            <v>0</v>
          </cell>
          <cell r="J454">
            <v>0</v>
          </cell>
          <cell r="K454">
            <v>0</v>
          </cell>
          <cell r="L454">
            <v>0</v>
          </cell>
          <cell r="M454">
            <v>0</v>
          </cell>
          <cell r="N454">
            <v>0</v>
          </cell>
        </row>
        <row r="455">
          <cell r="A455" t="str">
            <v>5100</v>
          </cell>
          <cell r="B455" t="str">
            <v>014702720</v>
          </cell>
          <cell r="C455">
            <v>300</v>
          </cell>
          <cell r="D455">
            <v>0</v>
          </cell>
          <cell r="E455">
            <v>0</v>
          </cell>
          <cell r="F455">
            <v>0</v>
          </cell>
          <cell r="G455">
            <v>300</v>
          </cell>
          <cell r="H455">
            <v>0</v>
          </cell>
          <cell r="I455">
            <v>0</v>
          </cell>
          <cell r="J455">
            <v>0</v>
          </cell>
          <cell r="K455">
            <v>0</v>
          </cell>
          <cell r="L455">
            <v>0</v>
          </cell>
          <cell r="M455">
            <v>0</v>
          </cell>
          <cell r="N455">
            <v>0</v>
          </cell>
        </row>
        <row r="456">
          <cell r="A456" t="str">
            <v>5100</v>
          </cell>
          <cell r="B456" t="str">
            <v>014801061</v>
          </cell>
          <cell r="C456">
            <v>300</v>
          </cell>
          <cell r="D456">
            <v>0</v>
          </cell>
          <cell r="E456">
            <v>0</v>
          </cell>
          <cell r="F456">
            <v>300</v>
          </cell>
          <cell r="G456">
            <v>0</v>
          </cell>
          <cell r="H456">
            <v>0</v>
          </cell>
          <cell r="I456">
            <v>0</v>
          </cell>
          <cell r="J456">
            <v>0</v>
          </cell>
          <cell r="K456">
            <v>0</v>
          </cell>
          <cell r="L456">
            <v>0</v>
          </cell>
          <cell r="M456">
            <v>0</v>
          </cell>
          <cell r="N456">
            <v>0</v>
          </cell>
        </row>
        <row r="457">
          <cell r="A457" t="str">
            <v>5100</v>
          </cell>
          <cell r="B457" t="str">
            <v>015101071</v>
          </cell>
          <cell r="C457">
            <v>300</v>
          </cell>
          <cell r="D457">
            <v>0</v>
          </cell>
          <cell r="E457">
            <v>0</v>
          </cell>
          <cell r="F457">
            <v>300</v>
          </cell>
          <cell r="G457">
            <v>0</v>
          </cell>
          <cell r="H457">
            <v>0</v>
          </cell>
          <cell r="I457">
            <v>0</v>
          </cell>
          <cell r="J457">
            <v>0</v>
          </cell>
          <cell r="K457">
            <v>0</v>
          </cell>
          <cell r="L457">
            <v>0</v>
          </cell>
          <cell r="M457">
            <v>0</v>
          </cell>
          <cell r="N457">
            <v>0</v>
          </cell>
        </row>
        <row r="458">
          <cell r="A458" t="str">
            <v>5100</v>
          </cell>
          <cell r="B458" t="str">
            <v>015101080</v>
          </cell>
          <cell r="C458">
            <v>300</v>
          </cell>
          <cell r="D458">
            <v>0</v>
          </cell>
          <cell r="E458">
            <v>0</v>
          </cell>
          <cell r="F458">
            <v>300</v>
          </cell>
          <cell r="G458">
            <v>0</v>
          </cell>
          <cell r="H458">
            <v>0</v>
          </cell>
          <cell r="I458">
            <v>0</v>
          </cell>
          <cell r="J458">
            <v>0</v>
          </cell>
          <cell r="K458">
            <v>0</v>
          </cell>
          <cell r="L458">
            <v>0</v>
          </cell>
          <cell r="M458">
            <v>0</v>
          </cell>
          <cell r="N458">
            <v>0</v>
          </cell>
        </row>
        <row r="459">
          <cell r="A459" t="str">
            <v>5100</v>
          </cell>
          <cell r="B459" t="str">
            <v>015101170</v>
          </cell>
          <cell r="C459">
            <v>300</v>
          </cell>
          <cell r="D459">
            <v>0</v>
          </cell>
          <cell r="E459">
            <v>0</v>
          </cell>
          <cell r="F459">
            <v>300</v>
          </cell>
          <cell r="G459">
            <v>0</v>
          </cell>
          <cell r="H459">
            <v>0</v>
          </cell>
          <cell r="I459">
            <v>0</v>
          </cell>
          <cell r="J459">
            <v>0</v>
          </cell>
          <cell r="K459">
            <v>0</v>
          </cell>
          <cell r="L459">
            <v>0</v>
          </cell>
          <cell r="M459">
            <v>0</v>
          </cell>
          <cell r="N459">
            <v>0</v>
          </cell>
        </row>
        <row r="460">
          <cell r="A460" t="str">
            <v>5100</v>
          </cell>
          <cell r="B460" t="str">
            <v>015200731</v>
          </cell>
          <cell r="C460">
            <v>300</v>
          </cell>
          <cell r="D460">
            <v>0</v>
          </cell>
          <cell r="E460">
            <v>0</v>
          </cell>
          <cell r="F460">
            <v>300</v>
          </cell>
          <cell r="G460">
            <v>0</v>
          </cell>
          <cell r="H460">
            <v>0</v>
          </cell>
          <cell r="I460">
            <v>0</v>
          </cell>
          <cell r="J460">
            <v>0</v>
          </cell>
          <cell r="K460">
            <v>0</v>
          </cell>
          <cell r="L460">
            <v>0</v>
          </cell>
          <cell r="M460">
            <v>0</v>
          </cell>
          <cell r="N460">
            <v>0</v>
          </cell>
        </row>
        <row r="461">
          <cell r="A461" t="str">
            <v>5100</v>
          </cell>
          <cell r="B461" t="str">
            <v>015201751</v>
          </cell>
          <cell r="C461">
            <v>300</v>
          </cell>
          <cell r="D461">
            <v>0</v>
          </cell>
          <cell r="E461">
            <v>0</v>
          </cell>
          <cell r="F461">
            <v>300</v>
          </cell>
          <cell r="G461">
            <v>0</v>
          </cell>
          <cell r="H461">
            <v>0</v>
          </cell>
          <cell r="I461">
            <v>0</v>
          </cell>
          <cell r="J461">
            <v>0</v>
          </cell>
          <cell r="K461">
            <v>0</v>
          </cell>
          <cell r="L461">
            <v>0</v>
          </cell>
          <cell r="M461">
            <v>0</v>
          </cell>
          <cell r="N461">
            <v>0</v>
          </cell>
        </row>
        <row r="462">
          <cell r="A462" t="str">
            <v>5100</v>
          </cell>
          <cell r="B462" t="str">
            <v>015201760</v>
          </cell>
          <cell r="C462">
            <v>300</v>
          </cell>
          <cell r="D462">
            <v>0</v>
          </cell>
          <cell r="E462">
            <v>0</v>
          </cell>
          <cell r="F462">
            <v>0</v>
          </cell>
          <cell r="G462">
            <v>300</v>
          </cell>
          <cell r="H462">
            <v>0</v>
          </cell>
          <cell r="I462">
            <v>0</v>
          </cell>
          <cell r="J462">
            <v>0</v>
          </cell>
          <cell r="K462">
            <v>0</v>
          </cell>
          <cell r="L462">
            <v>0</v>
          </cell>
          <cell r="M462">
            <v>0</v>
          </cell>
          <cell r="N462">
            <v>0</v>
          </cell>
        </row>
        <row r="463">
          <cell r="A463" t="str">
            <v>5100</v>
          </cell>
          <cell r="B463" t="str">
            <v>015300120</v>
          </cell>
          <cell r="C463">
            <v>300</v>
          </cell>
          <cell r="D463">
            <v>300</v>
          </cell>
          <cell r="E463">
            <v>0</v>
          </cell>
          <cell r="F463">
            <v>0</v>
          </cell>
          <cell r="G463">
            <v>0</v>
          </cell>
          <cell r="H463">
            <v>300</v>
          </cell>
          <cell r="I463">
            <v>0</v>
          </cell>
          <cell r="J463">
            <v>0</v>
          </cell>
          <cell r="K463">
            <v>300</v>
          </cell>
          <cell r="L463">
            <v>0</v>
          </cell>
          <cell r="M463">
            <v>0</v>
          </cell>
          <cell r="N463">
            <v>0</v>
          </cell>
        </row>
        <row r="464">
          <cell r="A464" t="str">
            <v>5100</v>
          </cell>
          <cell r="B464" t="str">
            <v>015500753</v>
          </cell>
          <cell r="C464">
            <v>300</v>
          </cell>
          <cell r="D464">
            <v>1200</v>
          </cell>
          <cell r="E464">
            <v>0</v>
          </cell>
          <cell r="F464">
            <v>0</v>
          </cell>
          <cell r="G464">
            <v>300</v>
          </cell>
          <cell r="H464">
            <v>0</v>
          </cell>
          <cell r="I464">
            <v>1200</v>
          </cell>
          <cell r="J464">
            <v>0</v>
          </cell>
          <cell r="K464">
            <v>0</v>
          </cell>
          <cell r="L464">
            <v>0</v>
          </cell>
          <cell r="M464">
            <v>0</v>
          </cell>
          <cell r="N464">
            <v>0</v>
          </cell>
        </row>
        <row r="465">
          <cell r="A465" t="str">
            <v>5100</v>
          </cell>
          <cell r="B465" t="str">
            <v>015501501</v>
          </cell>
          <cell r="C465">
            <v>300</v>
          </cell>
          <cell r="D465">
            <v>8000</v>
          </cell>
          <cell r="E465">
            <v>0</v>
          </cell>
          <cell r="F465">
            <v>300</v>
          </cell>
          <cell r="G465">
            <v>0</v>
          </cell>
          <cell r="H465">
            <v>0</v>
          </cell>
          <cell r="I465">
            <v>8000</v>
          </cell>
          <cell r="J465">
            <v>0</v>
          </cell>
          <cell r="K465">
            <v>0</v>
          </cell>
          <cell r="L465">
            <v>0</v>
          </cell>
          <cell r="M465">
            <v>0</v>
          </cell>
          <cell r="N465">
            <v>0</v>
          </cell>
        </row>
        <row r="466">
          <cell r="A466" t="str">
            <v>5100</v>
          </cell>
          <cell r="B466" t="str">
            <v>015501973</v>
          </cell>
          <cell r="C466">
            <v>300</v>
          </cell>
          <cell r="D466">
            <v>0</v>
          </cell>
          <cell r="E466">
            <v>0</v>
          </cell>
          <cell r="F466">
            <v>300</v>
          </cell>
          <cell r="G466">
            <v>0</v>
          </cell>
          <cell r="H466">
            <v>0</v>
          </cell>
          <cell r="I466">
            <v>0</v>
          </cell>
          <cell r="J466">
            <v>0</v>
          </cell>
          <cell r="K466">
            <v>0</v>
          </cell>
          <cell r="L466">
            <v>0</v>
          </cell>
          <cell r="M466">
            <v>0</v>
          </cell>
          <cell r="N466">
            <v>0</v>
          </cell>
        </row>
        <row r="467">
          <cell r="A467" t="str">
            <v>5100</v>
          </cell>
          <cell r="B467" t="str">
            <v>011301111</v>
          </cell>
          <cell r="C467">
            <v>250</v>
          </cell>
          <cell r="D467">
            <v>0</v>
          </cell>
          <cell r="E467">
            <v>0</v>
          </cell>
          <cell r="F467">
            <v>250</v>
          </cell>
          <cell r="G467">
            <v>0</v>
          </cell>
          <cell r="H467">
            <v>0</v>
          </cell>
          <cell r="I467">
            <v>0</v>
          </cell>
          <cell r="J467">
            <v>0</v>
          </cell>
          <cell r="K467">
            <v>0</v>
          </cell>
          <cell r="L467">
            <v>0</v>
          </cell>
          <cell r="M467">
            <v>0</v>
          </cell>
          <cell r="N467">
            <v>0</v>
          </cell>
        </row>
        <row r="468">
          <cell r="A468" t="str">
            <v>5100</v>
          </cell>
          <cell r="B468" t="str">
            <v>011302060</v>
          </cell>
          <cell r="C468">
            <v>250</v>
          </cell>
          <cell r="D468">
            <v>0</v>
          </cell>
          <cell r="E468">
            <v>0</v>
          </cell>
          <cell r="F468">
            <v>0</v>
          </cell>
          <cell r="G468">
            <v>250</v>
          </cell>
          <cell r="H468">
            <v>0</v>
          </cell>
          <cell r="I468">
            <v>0</v>
          </cell>
          <cell r="J468">
            <v>0</v>
          </cell>
          <cell r="K468">
            <v>0</v>
          </cell>
          <cell r="L468">
            <v>0</v>
          </cell>
          <cell r="M468">
            <v>0</v>
          </cell>
          <cell r="N468">
            <v>0</v>
          </cell>
        </row>
        <row r="469">
          <cell r="A469" t="str">
            <v>5100</v>
          </cell>
          <cell r="B469" t="str">
            <v>011402831</v>
          </cell>
          <cell r="C469">
            <v>250</v>
          </cell>
          <cell r="D469">
            <v>0</v>
          </cell>
          <cell r="E469">
            <v>0</v>
          </cell>
          <cell r="F469">
            <v>0</v>
          </cell>
          <cell r="G469">
            <v>250</v>
          </cell>
          <cell r="H469">
            <v>0</v>
          </cell>
          <cell r="I469">
            <v>0</v>
          </cell>
          <cell r="J469">
            <v>0</v>
          </cell>
          <cell r="K469">
            <v>0</v>
          </cell>
          <cell r="L469">
            <v>0</v>
          </cell>
          <cell r="M469">
            <v>0</v>
          </cell>
          <cell r="N469">
            <v>0</v>
          </cell>
        </row>
        <row r="470">
          <cell r="A470" t="str">
            <v>5100</v>
          </cell>
          <cell r="B470" t="str">
            <v>012600840</v>
          </cell>
          <cell r="C470">
            <v>250</v>
          </cell>
          <cell r="D470">
            <v>0</v>
          </cell>
          <cell r="E470">
            <v>0</v>
          </cell>
          <cell r="F470">
            <v>0</v>
          </cell>
          <cell r="G470">
            <v>250</v>
          </cell>
          <cell r="H470">
            <v>0</v>
          </cell>
          <cell r="I470">
            <v>0</v>
          </cell>
          <cell r="J470">
            <v>0</v>
          </cell>
          <cell r="K470">
            <v>0</v>
          </cell>
          <cell r="L470">
            <v>0</v>
          </cell>
          <cell r="M470">
            <v>0</v>
          </cell>
          <cell r="N470">
            <v>0</v>
          </cell>
        </row>
        <row r="471">
          <cell r="A471" t="str">
            <v>5100</v>
          </cell>
          <cell r="B471" t="str">
            <v>012900620</v>
          </cell>
          <cell r="C471">
            <v>250</v>
          </cell>
          <cell r="D471">
            <v>0</v>
          </cell>
          <cell r="E471">
            <v>0</v>
          </cell>
          <cell r="F471">
            <v>250</v>
          </cell>
          <cell r="G471">
            <v>0</v>
          </cell>
          <cell r="H471">
            <v>0</v>
          </cell>
          <cell r="I471">
            <v>0</v>
          </cell>
          <cell r="J471">
            <v>0</v>
          </cell>
          <cell r="K471">
            <v>0</v>
          </cell>
          <cell r="L471">
            <v>0</v>
          </cell>
          <cell r="M471">
            <v>0</v>
          </cell>
          <cell r="N471">
            <v>0</v>
          </cell>
        </row>
        <row r="472">
          <cell r="A472" t="str">
            <v>5100</v>
          </cell>
          <cell r="B472" t="str">
            <v>014703180</v>
          </cell>
          <cell r="C472">
            <v>250</v>
          </cell>
          <cell r="D472">
            <v>0</v>
          </cell>
          <cell r="E472">
            <v>0</v>
          </cell>
          <cell r="F472">
            <v>250</v>
          </cell>
          <cell r="G472">
            <v>0</v>
          </cell>
          <cell r="H472">
            <v>0</v>
          </cell>
          <cell r="I472">
            <v>0</v>
          </cell>
          <cell r="J472">
            <v>0</v>
          </cell>
          <cell r="K472">
            <v>0</v>
          </cell>
          <cell r="L472">
            <v>0</v>
          </cell>
          <cell r="M472">
            <v>0</v>
          </cell>
          <cell r="N472">
            <v>0</v>
          </cell>
        </row>
        <row r="473">
          <cell r="A473" t="str">
            <v>5100</v>
          </cell>
          <cell r="B473" t="str">
            <v>015100224</v>
          </cell>
          <cell r="C473">
            <v>250</v>
          </cell>
          <cell r="D473">
            <v>0</v>
          </cell>
          <cell r="E473">
            <v>0</v>
          </cell>
          <cell r="F473">
            <v>0</v>
          </cell>
          <cell r="G473">
            <v>250</v>
          </cell>
          <cell r="H473">
            <v>0</v>
          </cell>
          <cell r="I473">
            <v>0</v>
          </cell>
          <cell r="J473">
            <v>0</v>
          </cell>
          <cell r="K473">
            <v>0</v>
          </cell>
          <cell r="L473">
            <v>0</v>
          </cell>
          <cell r="M473">
            <v>0</v>
          </cell>
          <cell r="N473">
            <v>0</v>
          </cell>
        </row>
        <row r="474">
          <cell r="A474" t="str">
            <v>5100</v>
          </cell>
          <cell r="B474" t="str">
            <v>015502890</v>
          </cell>
          <cell r="C474">
            <v>250</v>
          </cell>
          <cell r="D474">
            <v>0</v>
          </cell>
          <cell r="E474">
            <v>0</v>
          </cell>
          <cell r="F474">
            <v>250</v>
          </cell>
          <cell r="G474">
            <v>0</v>
          </cell>
          <cell r="H474">
            <v>0</v>
          </cell>
          <cell r="I474">
            <v>0</v>
          </cell>
          <cell r="J474">
            <v>0</v>
          </cell>
          <cell r="K474">
            <v>0</v>
          </cell>
          <cell r="L474">
            <v>0</v>
          </cell>
          <cell r="M474">
            <v>0</v>
          </cell>
          <cell r="N474">
            <v>0</v>
          </cell>
        </row>
        <row r="475">
          <cell r="A475" t="str">
            <v>0000</v>
          </cell>
          <cell r="B475" t="str">
            <v>011474550</v>
          </cell>
          <cell r="C475">
            <v>204</v>
          </cell>
          <cell r="D475">
            <v>0</v>
          </cell>
          <cell r="E475">
            <v>0</v>
          </cell>
          <cell r="F475">
            <v>204</v>
          </cell>
          <cell r="G475">
            <v>0</v>
          </cell>
          <cell r="H475">
            <v>0</v>
          </cell>
          <cell r="I475">
            <v>0</v>
          </cell>
          <cell r="J475">
            <v>0</v>
          </cell>
          <cell r="K475">
            <v>0</v>
          </cell>
          <cell r="L475">
            <v>0</v>
          </cell>
          <cell r="M475">
            <v>0</v>
          </cell>
          <cell r="N475">
            <v>0</v>
          </cell>
        </row>
        <row r="476">
          <cell r="A476" t="str">
            <v>0000</v>
          </cell>
          <cell r="B476" t="str">
            <v>013834730</v>
          </cell>
          <cell r="C476">
            <v>200</v>
          </cell>
          <cell r="D476">
            <v>0</v>
          </cell>
          <cell r="E476">
            <v>0</v>
          </cell>
          <cell r="F476">
            <v>200</v>
          </cell>
          <cell r="G476">
            <v>0</v>
          </cell>
          <cell r="H476">
            <v>0</v>
          </cell>
          <cell r="I476">
            <v>0</v>
          </cell>
          <cell r="J476">
            <v>0</v>
          </cell>
          <cell r="K476">
            <v>0</v>
          </cell>
          <cell r="L476">
            <v>0</v>
          </cell>
          <cell r="M476">
            <v>0</v>
          </cell>
          <cell r="N476">
            <v>0</v>
          </cell>
        </row>
        <row r="477">
          <cell r="A477" t="str">
            <v>5100</v>
          </cell>
          <cell r="B477" t="str">
            <v>010043909</v>
          </cell>
          <cell r="C477">
            <v>200</v>
          </cell>
          <cell r="D477">
            <v>0</v>
          </cell>
          <cell r="E477">
            <v>0</v>
          </cell>
          <cell r="F477">
            <v>200</v>
          </cell>
          <cell r="G477">
            <v>0</v>
          </cell>
          <cell r="H477">
            <v>0</v>
          </cell>
          <cell r="I477">
            <v>0</v>
          </cell>
          <cell r="J477">
            <v>0</v>
          </cell>
          <cell r="K477">
            <v>0</v>
          </cell>
          <cell r="L477">
            <v>0</v>
          </cell>
          <cell r="M477">
            <v>0</v>
          </cell>
          <cell r="N477">
            <v>0</v>
          </cell>
        </row>
        <row r="478">
          <cell r="A478" t="str">
            <v>5100</v>
          </cell>
          <cell r="B478" t="str">
            <v>010043919</v>
          </cell>
          <cell r="C478">
            <v>200</v>
          </cell>
          <cell r="D478">
            <v>0</v>
          </cell>
          <cell r="E478">
            <v>0</v>
          </cell>
          <cell r="F478">
            <v>200</v>
          </cell>
          <cell r="G478">
            <v>0</v>
          </cell>
          <cell r="H478">
            <v>0</v>
          </cell>
          <cell r="I478">
            <v>0</v>
          </cell>
          <cell r="J478">
            <v>0</v>
          </cell>
          <cell r="K478">
            <v>0</v>
          </cell>
          <cell r="L478">
            <v>0</v>
          </cell>
          <cell r="M478">
            <v>0</v>
          </cell>
          <cell r="N478">
            <v>0</v>
          </cell>
        </row>
        <row r="479">
          <cell r="A479" t="str">
            <v>5100</v>
          </cell>
          <cell r="B479" t="str">
            <v>010400151</v>
          </cell>
          <cell r="C479">
            <v>200</v>
          </cell>
          <cell r="D479">
            <v>0</v>
          </cell>
          <cell r="E479">
            <v>0</v>
          </cell>
          <cell r="F479">
            <v>200</v>
          </cell>
          <cell r="G479">
            <v>0</v>
          </cell>
          <cell r="H479">
            <v>0</v>
          </cell>
          <cell r="I479">
            <v>0</v>
          </cell>
          <cell r="J479">
            <v>0</v>
          </cell>
          <cell r="K479">
            <v>0</v>
          </cell>
          <cell r="L479">
            <v>0</v>
          </cell>
          <cell r="M479">
            <v>0</v>
          </cell>
          <cell r="N479">
            <v>0</v>
          </cell>
        </row>
        <row r="480">
          <cell r="A480" t="str">
            <v>5100</v>
          </cell>
          <cell r="B480" t="str">
            <v>011301532</v>
          </cell>
          <cell r="C480">
            <v>200</v>
          </cell>
          <cell r="D480">
            <v>0</v>
          </cell>
          <cell r="E480">
            <v>0</v>
          </cell>
          <cell r="F480">
            <v>0</v>
          </cell>
          <cell r="G480">
            <v>200</v>
          </cell>
          <cell r="H480">
            <v>0</v>
          </cell>
          <cell r="I480">
            <v>0</v>
          </cell>
          <cell r="J480">
            <v>0</v>
          </cell>
          <cell r="K480">
            <v>0</v>
          </cell>
          <cell r="L480">
            <v>0</v>
          </cell>
          <cell r="M480">
            <v>0</v>
          </cell>
          <cell r="N480">
            <v>0</v>
          </cell>
        </row>
        <row r="481">
          <cell r="A481" t="str">
            <v>5100</v>
          </cell>
          <cell r="B481" t="str">
            <v>011302490</v>
          </cell>
          <cell r="C481">
            <v>200</v>
          </cell>
          <cell r="D481">
            <v>0</v>
          </cell>
          <cell r="E481">
            <v>0</v>
          </cell>
          <cell r="F481">
            <v>0</v>
          </cell>
          <cell r="G481">
            <v>200</v>
          </cell>
          <cell r="H481">
            <v>0</v>
          </cell>
          <cell r="I481">
            <v>0</v>
          </cell>
          <cell r="J481">
            <v>0</v>
          </cell>
          <cell r="K481">
            <v>0</v>
          </cell>
          <cell r="L481">
            <v>0</v>
          </cell>
          <cell r="M481">
            <v>0</v>
          </cell>
          <cell r="N481">
            <v>0</v>
          </cell>
        </row>
        <row r="482">
          <cell r="A482" t="str">
            <v>5100</v>
          </cell>
          <cell r="B482" t="str">
            <v>011302500</v>
          </cell>
          <cell r="C482">
            <v>200</v>
          </cell>
          <cell r="D482">
            <v>0</v>
          </cell>
          <cell r="E482">
            <v>0</v>
          </cell>
          <cell r="F482">
            <v>0</v>
          </cell>
          <cell r="G482">
            <v>200</v>
          </cell>
          <cell r="H482">
            <v>0</v>
          </cell>
          <cell r="I482">
            <v>0</v>
          </cell>
          <cell r="J482">
            <v>0</v>
          </cell>
          <cell r="K482">
            <v>0</v>
          </cell>
          <cell r="L482">
            <v>0</v>
          </cell>
          <cell r="M482">
            <v>0</v>
          </cell>
          <cell r="N482">
            <v>0</v>
          </cell>
        </row>
        <row r="483">
          <cell r="A483" t="str">
            <v>5100</v>
          </cell>
          <cell r="B483" t="str">
            <v>015101130</v>
          </cell>
          <cell r="C483">
            <v>200</v>
          </cell>
          <cell r="D483">
            <v>0</v>
          </cell>
          <cell r="E483">
            <v>0</v>
          </cell>
          <cell r="F483">
            <v>0</v>
          </cell>
          <cell r="G483">
            <v>200</v>
          </cell>
          <cell r="H483">
            <v>0</v>
          </cell>
          <cell r="I483">
            <v>0</v>
          </cell>
          <cell r="J483">
            <v>0</v>
          </cell>
          <cell r="K483">
            <v>0</v>
          </cell>
          <cell r="L483">
            <v>0</v>
          </cell>
          <cell r="M483">
            <v>0</v>
          </cell>
          <cell r="N483">
            <v>0</v>
          </cell>
        </row>
        <row r="484">
          <cell r="A484" t="str">
            <v>5100</v>
          </cell>
          <cell r="B484" t="str">
            <v>015300140</v>
          </cell>
          <cell r="C484">
            <v>200</v>
          </cell>
          <cell r="D484">
            <v>0</v>
          </cell>
          <cell r="E484">
            <v>0</v>
          </cell>
          <cell r="F484">
            <v>200</v>
          </cell>
          <cell r="G484">
            <v>0</v>
          </cell>
          <cell r="H484">
            <v>0</v>
          </cell>
          <cell r="I484">
            <v>0</v>
          </cell>
          <cell r="J484">
            <v>0</v>
          </cell>
          <cell r="K484">
            <v>0</v>
          </cell>
          <cell r="L484">
            <v>0</v>
          </cell>
          <cell r="M484">
            <v>0</v>
          </cell>
          <cell r="N484">
            <v>0</v>
          </cell>
        </row>
        <row r="485">
          <cell r="A485" t="str">
            <v>5100</v>
          </cell>
          <cell r="B485" t="str">
            <v>015501220</v>
          </cell>
          <cell r="C485">
            <v>200</v>
          </cell>
          <cell r="D485">
            <v>0</v>
          </cell>
          <cell r="E485">
            <v>0</v>
          </cell>
          <cell r="F485">
            <v>0</v>
          </cell>
          <cell r="G485">
            <v>200</v>
          </cell>
          <cell r="H485">
            <v>0</v>
          </cell>
          <cell r="I485">
            <v>0</v>
          </cell>
          <cell r="J485">
            <v>0</v>
          </cell>
          <cell r="K485">
            <v>0</v>
          </cell>
          <cell r="L485">
            <v>0</v>
          </cell>
          <cell r="M485">
            <v>0</v>
          </cell>
          <cell r="N485">
            <v>0</v>
          </cell>
        </row>
        <row r="486">
          <cell r="A486" t="str">
            <v>5100</v>
          </cell>
          <cell r="B486" t="str">
            <v>011301910</v>
          </cell>
          <cell r="C486">
            <v>150</v>
          </cell>
          <cell r="D486">
            <v>0</v>
          </cell>
          <cell r="E486">
            <v>0</v>
          </cell>
          <cell r="F486">
            <v>0</v>
          </cell>
          <cell r="G486">
            <v>150</v>
          </cell>
          <cell r="H486">
            <v>0</v>
          </cell>
          <cell r="I486">
            <v>0</v>
          </cell>
          <cell r="J486">
            <v>0</v>
          </cell>
          <cell r="K486">
            <v>0</v>
          </cell>
          <cell r="L486">
            <v>0</v>
          </cell>
          <cell r="M486">
            <v>0</v>
          </cell>
          <cell r="N486">
            <v>0</v>
          </cell>
        </row>
        <row r="487">
          <cell r="A487" t="str">
            <v>0000</v>
          </cell>
          <cell r="B487" t="str">
            <v>015588060</v>
          </cell>
          <cell r="C487">
            <v>149</v>
          </cell>
          <cell r="D487">
            <v>0</v>
          </cell>
          <cell r="E487">
            <v>0</v>
          </cell>
          <cell r="F487">
            <v>149</v>
          </cell>
          <cell r="G487">
            <v>0</v>
          </cell>
          <cell r="H487">
            <v>0</v>
          </cell>
          <cell r="I487">
            <v>0</v>
          </cell>
          <cell r="J487">
            <v>0</v>
          </cell>
          <cell r="K487">
            <v>0</v>
          </cell>
          <cell r="L487">
            <v>0</v>
          </cell>
          <cell r="M487">
            <v>0</v>
          </cell>
          <cell r="N487">
            <v>0</v>
          </cell>
        </row>
        <row r="488">
          <cell r="A488" t="str">
            <v>5100</v>
          </cell>
          <cell r="B488" t="str">
            <v>015400230</v>
          </cell>
          <cell r="C488">
            <v>120</v>
          </cell>
          <cell r="D488">
            <v>0</v>
          </cell>
          <cell r="E488">
            <v>0</v>
          </cell>
          <cell r="F488">
            <v>0</v>
          </cell>
          <cell r="G488">
            <v>120</v>
          </cell>
          <cell r="H488">
            <v>0</v>
          </cell>
          <cell r="I488">
            <v>0</v>
          </cell>
          <cell r="J488">
            <v>0</v>
          </cell>
          <cell r="K488">
            <v>0</v>
          </cell>
          <cell r="L488">
            <v>0</v>
          </cell>
          <cell r="M488">
            <v>0</v>
          </cell>
          <cell r="N488">
            <v>0</v>
          </cell>
        </row>
        <row r="489">
          <cell r="A489" t="str">
            <v>5100</v>
          </cell>
          <cell r="B489" t="str">
            <v>015201301</v>
          </cell>
          <cell r="C489">
            <v>100</v>
          </cell>
          <cell r="D489">
            <v>0</v>
          </cell>
          <cell r="E489">
            <v>0</v>
          </cell>
          <cell r="F489">
            <v>100</v>
          </cell>
          <cell r="G489">
            <v>0</v>
          </cell>
          <cell r="H489">
            <v>0</v>
          </cell>
          <cell r="I489">
            <v>0</v>
          </cell>
          <cell r="J489">
            <v>0</v>
          </cell>
          <cell r="K489">
            <v>0</v>
          </cell>
          <cell r="L489">
            <v>0</v>
          </cell>
          <cell r="M489">
            <v>0</v>
          </cell>
          <cell r="N489">
            <v>0</v>
          </cell>
        </row>
        <row r="490">
          <cell r="A490" t="str">
            <v>5100</v>
          </cell>
          <cell r="B490" t="str">
            <v>015501691</v>
          </cell>
          <cell r="C490">
            <v>100</v>
          </cell>
          <cell r="D490">
            <v>0</v>
          </cell>
          <cell r="E490">
            <v>0</v>
          </cell>
          <cell r="F490">
            <v>100</v>
          </cell>
          <cell r="G490">
            <v>0</v>
          </cell>
          <cell r="H490">
            <v>0</v>
          </cell>
          <cell r="I490">
            <v>0</v>
          </cell>
          <cell r="J490">
            <v>0</v>
          </cell>
          <cell r="K490">
            <v>0</v>
          </cell>
          <cell r="L490">
            <v>0</v>
          </cell>
          <cell r="M490">
            <v>0</v>
          </cell>
          <cell r="N490">
            <v>0</v>
          </cell>
        </row>
        <row r="491">
          <cell r="A491" t="str">
            <v>0000</v>
          </cell>
          <cell r="B491" t="str">
            <v>011474540</v>
          </cell>
          <cell r="C491">
            <v>95</v>
          </cell>
          <cell r="D491">
            <v>0</v>
          </cell>
          <cell r="E491">
            <v>0</v>
          </cell>
          <cell r="F491">
            <v>95</v>
          </cell>
          <cell r="G491">
            <v>0</v>
          </cell>
          <cell r="H491">
            <v>0</v>
          </cell>
          <cell r="I491">
            <v>0</v>
          </cell>
          <cell r="J491">
            <v>0</v>
          </cell>
          <cell r="K491">
            <v>0</v>
          </cell>
          <cell r="L491">
            <v>0</v>
          </cell>
          <cell r="M491">
            <v>0</v>
          </cell>
          <cell r="N491">
            <v>0</v>
          </cell>
        </row>
        <row r="492">
          <cell r="A492" t="str">
            <v>0000</v>
          </cell>
          <cell r="B492" t="str">
            <v>015202960</v>
          </cell>
          <cell r="C492">
            <v>43</v>
          </cell>
          <cell r="D492">
            <v>0</v>
          </cell>
          <cell r="E492">
            <v>0</v>
          </cell>
          <cell r="F492">
            <v>43</v>
          </cell>
          <cell r="G492">
            <v>0</v>
          </cell>
          <cell r="H492">
            <v>0</v>
          </cell>
          <cell r="I492">
            <v>0</v>
          </cell>
          <cell r="J492">
            <v>0</v>
          </cell>
          <cell r="K492">
            <v>0</v>
          </cell>
          <cell r="L492">
            <v>0</v>
          </cell>
          <cell r="M492">
            <v>0</v>
          </cell>
          <cell r="N492">
            <v>0</v>
          </cell>
        </row>
        <row r="493">
          <cell r="A493" t="str">
            <v>0000</v>
          </cell>
          <cell r="B493" t="str">
            <v>010681810</v>
          </cell>
          <cell r="C493">
            <v>20</v>
          </cell>
          <cell r="D493">
            <v>0</v>
          </cell>
          <cell r="E493">
            <v>0</v>
          </cell>
          <cell r="F493">
            <v>20</v>
          </cell>
          <cell r="G493">
            <v>0</v>
          </cell>
          <cell r="H493">
            <v>0</v>
          </cell>
          <cell r="I493">
            <v>0</v>
          </cell>
          <cell r="J493">
            <v>0</v>
          </cell>
          <cell r="K493">
            <v>0</v>
          </cell>
          <cell r="L493">
            <v>0</v>
          </cell>
          <cell r="M493">
            <v>0</v>
          </cell>
          <cell r="N493">
            <v>0</v>
          </cell>
        </row>
        <row r="494">
          <cell r="A494" t="str">
            <v>0000</v>
          </cell>
          <cell r="B494" t="str">
            <v>010681820</v>
          </cell>
          <cell r="C494">
            <v>20</v>
          </cell>
          <cell r="D494">
            <v>0</v>
          </cell>
          <cell r="E494">
            <v>0</v>
          </cell>
          <cell r="F494">
            <v>20</v>
          </cell>
          <cell r="G494">
            <v>0</v>
          </cell>
          <cell r="H494">
            <v>0</v>
          </cell>
          <cell r="I494">
            <v>0</v>
          </cell>
          <cell r="J494">
            <v>0</v>
          </cell>
          <cell r="K494">
            <v>0</v>
          </cell>
          <cell r="L494">
            <v>0</v>
          </cell>
          <cell r="M494">
            <v>0</v>
          </cell>
          <cell r="N494">
            <v>0</v>
          </cell>
        </row>
        <row r="495">
          <cell r="A495" t="str">
            <v>0000</v>
          </cell>
          <cell r="B495" t="str">
            <v>011391850</v>
          </cell>
          <cell r="C495">
            <v>20</v>
          </cell>
          <cell r="D495">
            <v>0</v>
          </cell>
          <cell r="E495">
            <v>0</v>
          </cell>
          <cell r="F495">
            <v>20</v>
          </cell>
          <cell r="G495">
            <v>0</v>
          </cell>
          <cell r="H495">
            <v>0</v>
          </cell>
          <cell r="I495">
            <v>0</v>
          </cell>
          <cell r="J495">
            <v>0</v>
          </cell>
          <cell r="K495">
            <v>0</v>
          </cell>
          <cell r="L495">
            <v>0</v>
          </cell>
          <cell r="M495">
            <v>0</v>
          </cell>
          <cell r="N495">
            <v>0</v>
          </cell>
        </row>
        <row r="496">
          <cell r="A496" t="str">
            <v>0000</v>
          </cell>
          <cell r="B496" t="str">
            <v>010681830</v>
          </cell>
          <cell r="C496">
            <v>13</v>
          </cell>
          <cell r="D496">
            <v>0</v>
          </cell>
          <cell r="E496">
            <v>0</v>
          </cell>
          <cell r="F496">
            <v>13</v>
          </cell>
          <cell r="G496">
            <v>0</v>
          </cell>
          <cell r="H496">
            <v>0</v>
          </cell>
          <cell r="I496">
            <v>0</v>
          </cell>
          <cell r="J496">
            <v>0</v>
          </cell>
          <cell r="K496">
            <v>0</v>
          </cell>
          <cell r="L496">
            <v>0</v>
          </cell>
          <cell r="M496">
            <v>0</v>
          </cell>
          <cell r="N496">
            <v>0</v>
          </cell>
        </row>
        <row r="497">
          <cell r="A497" t="str">
            <v>0000</v>
          </cell>
          <cell r="B497" t="str">
            <v>010681840</v>
          </cell>
          <cell r="C497">
            <v>13</v>
          </cell>
          <cell r="D497">
            <v>0</v>
          </cell>
          <cell r="E497">
            <v>0</v>
          </cell>
          <cell r="F497">
            <v>13</v>
          </cell>
          <cell r="G497">
            <v>0</v>
          </cell>
          <cell r="H497">
            <v>0</v>
          </cell>
          <cell r="I497">
            <v>0</v>
          </cell>
          <cell r="J497">
            <v>0</v>
          </cell>
          <cell r="K497">
            <v>0</v>
          </cell>
          <cell r="L497">
            <v>0</v>
          </cell>
          <cell r="M497">
            <v>0</v>
          </cell>
          <cell r="N497">
            <v>0</v>
          </cell>
        </row>
        <row r="498">
          <cell r="A498" t="str">
            <v>5100</v>
          </cell>
          <cell r="B498" t="str">
            <v>010200180</v>
          </cell>
          <cell r="C498">
            <v>0</v>
          </cell>
          <cell r="D498">
            <v>400</v>
          </cell>
          <cell r="E498">
            <v>0</v>
          </cell>
          <cell r="F498">
            <v>0</v>
          </cell>
          <cell r="G498">
            <v>0</v>
          </cell>
          <cell r="H498">
            <v>0</v>
          </cell>
          <cell r="I498">
            <v>0</v>
          </cell>
          <cell r="J498">
            <v>400</v>
          </cell>
          <cell r="K498">
            <v>0</v>
          </cell>
          <cell r="L498">
            <v>0</v>
          </cell>
          <cell r="M498">
            <v>0</v>
          </cell>
          <cell r="N498">
            <v>0</v>
          </cell>
        </row>
        <row r="499">
          <cell r="A499" t="str">
            <v>5100</v>
          </cell>
          <cell r="B499" t="str">
            <v>010200211</v>
          </cell>
          <cell r="C499">
            <v>0</v>
          </cell>
          <cell r="D499">
            <v>1300</v>
          </cell>
          <cell r="E499">
            <v>0</v>
          </cell>
          <cell r="F499">
            <v>0</v>
          </cell>
          <cell r="G499">
            <v>0</v>
          </cell>
          <cell r="H499">
            <v>0</v>
          </cell>
          <cell r="I499">
            <v>1300</v>
          </cell>
          <cell r="J499">
            <v>0</v>
          </cell>
          <cell r="K499">
            <v>0</v>
          </cell>
          <cell r="L499">
            <v>0</v>
          </cell>
          <cell r="M499">
            <v>0</v>
          </cell>
          <cell r="N499">
            <v>0</v>
          </cell>
        </row>
        <row r="500">
          <cell r="A500" t="str">
            <v>5100</v>
          </cell>
          <cell r="B500" t="str">
            <v>010200231</v>
          </cell>
          <cell r="C500">
            <v>0</v>
          </cell>
          <cell r="D500">
            <v>1300</v>
          </cell>
          <cell r="E500">
            <v>0</v>
          </cell>
          <cell r="F500">
            <v>0</v>
          </cell>
          <cell r="G500">
            <v>0</v>
          </cell>
          <cell r="H500">
            <v>0</v>
          </cell>
          <cell r="I500">
            <v>0</v>
          </cell>
          <cell r="J500">
            <v>1300</v>
          </cell>
          <cell r="K500">
            <v>0</v>
          </cell>
          <cell r="L500">
            <v>0</v>
          </cell>
          <cell r="M500">
            <v>0</v>
          </cell>
          <cell r="N500">
            <v>0</v>
          </cell>
        </row>
        <row r="501">
          <cell r="A501" t="str">
            <v>5100</v>
          </cell>
          <cell r="B501" t="str">
            <v>010200240</v>
          </cell>
          <cell r="C501">
            <v>0</v>
          </cell>
          <cell r="D501">
            <v>1300</v>
          </cell>
          <cell r="E501">
            <v>0</v>
          </cell>
          <cell r="F501">
            <v>0</v>
          </cell>
          <cell r="G501">
            <v>0</v>
          </cell>
          <cell r="H501">
            <v>0</v>
          </cell>
          <cell r="I501">
            <v>0</v>
          </cell>
          <cell r="J501">
            <v>1300</v>
          </cell>
          <cell r="K501">
            <v>0</v>
          </cell>
          <cell r="L501">
            <v>0</v>
          </cell>
          <cell r="M501">
            <v>0</v>
          </cell>
          <cell r="N501">
            <v>0</v>
          </cell>
        </row>
        <row r="502">
          <cell r="A502" t="str">
            <v>5100</v>
          </cell>
          <cell r="B502" t="str">
            <v>010200332</v>
          </cell>
          <cell r="C502">
            <v>0</v>
          </cell>
          <cell r="D502">
            <v>250</v>
          </cell>
          <cell r="E502">
            <v>0</v>
          </cell>
          <cell r="F502">
            <v>0</v>
          </cell>
          <cell r="G502">
            <v>0</v>
          </cell>
          <cell r="H502">
            <v>0</v>
          </cell>
          <cell r="I502">
            <v>250</v>
          </cell>
          <cell r="J502">
            <v>0</v>
          </cell>
          <cell r="K502">
            <v>0</v>
          </cell>
          <cell r="L502">
            <v>0</v>
          </cell>
          <cell r="M502">
            <v>0</v>
          </cell>
          <cell r="N502">
            <v>0</v>
          </cell>
        </row>
        <row r="503">
          <cell r="A503" t="str">
            <v>5100</v>
          </cell>
          <cell r="B503" t="str">
            <v>010600860</v>
          </cell>
          <cell r="C503">
            <v>0</v>
          </cell>
          <cell r="D503">
            <v>50</v>
          </cell>
          <cell r="E503">
            <v>0</v>
          </cell>
          <cell r="F503">
            <v>0</v>
          </cell>
          <cell r="G503">
            <v>0</v>
          </cell>
          <cell r="H503">
            <v>0</v>
          </cell>
          <cell r="I503">
            <v>50</v>
          </cell>
          <cell r="J503">
            <v>0</v>
          </cell>
          <cell r="K503">
            <v>0</v>
          </cell>
          <cell r="L503">
            <v>0</v>
          </cell>
          <cell r="M503">
            <v>0</v>
          </cell>
          <cell r="N503">
            <v>0</v>
          </cell>
        </row>
        <row r="504">
          <cell r="A504" t="str">
            <v>5100</v>
          </cell>
          <cell r="B504" t="str">
            <v>010601262</v>
          </cell>
          <cell r="C504">
            <v>0</v>
          </cell>
          <cell r="D504">
            <v>300</v>
          </cell>
          <cell r="E504">
            <v>0</v>
          </cell>
          <cell r="F504">
            <v>0</v>
          </cell>
          <cell r="G504">
            <v>0</v>
          </cell>
          <cell r="H504">
            <v>0</v>
          </cell>
          <cell r="I504">
            <v>0</v>
          </cell>
          <cell r="J504">
            <v>0</v>
          </cell>
          <cell r="K504">
            <v>300</v>
          </cell>
          <cell r="L504">
            <v>0</v>
          </cell>
          <cell r="M504">
            <v>0</v>
          </cell>
          <cell r="N504">
            <v>0</v>
          </cell>
        </row>
        <row r="505">
          <cell r="A505" t="str">
            <v>5100</v>
          </cell>
          <cell r="B505" t="str">
            <v>010601810</v>
          </cell>
          <cell r="C505">
            <v>0</v>
          </cell>
          <cell r="D505">
            <v>300</v>
          </cell>
          <cell r="E505">
            <v>0</v>
          </cell>
          <cell r="F505">
            <v>0</v>
          </cell>
          <cell r="G505">
            <v>0</v>
          </cell>
          <cell r="H505">
            <v>0</v>
          </cell>
          <cell r="I505">
            <v>0</v>
          </cell>
          <cell r="J505">
            <v>300</v>
          </cell>
          <cell r="K505">
            <v>0</v>
          </cell>
          <cell r="L505">
            <v>0</v>
          </cell>
          <cell r="M505">
            <v>0</v>
          </cell>
          <cell r="N505">
            <v>0</v>
          </cell>
        </row>
        <row r="506">
          <cell r="A506" t="str">
            <v>5100</v>
          </cell>
          <cell r="B506" t="str">
            <v>010602350</v>
          </cell>
          <cell r="C506">
            <v>0</v>
          </cell>
          <cell r="D506">
            <v>150</v>
          </cell>
          <cell r="E506">
            <v>0</v>
          </cell>
          <cell r="F506">
            <v>0</v>
          </cell>
          <cell r="G506">
            <v>0</v>
          </cell>
          <cell r="H506">
            <v>0</v>
          </cell>
          <cell r="I506">
            <v>0</v>
          </cell>
          <cell r="J506">
            <v>0</v>
          </cell>
          <cell r="K506">
            <v>150</v>
          </cell>
          <cell r="L506">
            <v>0</v>
          </cell>
          <cell r="M506">
            <v>0</v>
          </cell>
          <cell r="N506">
            <v>0</v>
          </cell>
        </row>
        <row r="507">
          <cell r="A507" t="str">
            <v>5100</v>
          </cell>
          <cell r="B507" t="str">
            <v>010700144</v>
          </cell>
          <cell r="C507">
            <v>0</v>
          </cell>
          <cell r="D507">
            <v>4000</v>
          </cell>
          <cell r="E507">
            <v>0</v>
          </cell>
          <cell r="F507">
            <v>0</v>
          </cell>
          <cell r="G507">
            <v>0</v>
          </cell>
          <cell r="H507">
            <v>0</v>
          </cell>
          <cell r="I507">
            <v>0</v>
          </cell>
          <cell r="J507">
            <v>4000</v>
          </cell>
          <cell r="K507">
            <v>0</v>
          </cell>
          <cell r="L507">
            <v>0</v>
          </cell>
          <cell r="M507">
            <v>0</v>
          </cell>
          <cell r="N507">
            <v>0</v>
          </cell>
        </row>
        <row r="508">
          <cell r="A508" t="str">
            <v>5100</v>
          </cell>
          <cell r="B508" t="str">
            <v>010700403</v>
          </cell>
          <cell r="C508">
            <v>0</v>
          </cell>
          <cell r="D508">
            <v>4000</v>
          </cell>
          <cell r="E508">
            <v>4000</v>
          </cell>
          <cell r="F508">
            <v>0</v>
          </cell>
          <cell r="G508">
            <v>0</v>
          </cell>
          <cell r="H508">
            <v>0</v>
          </cell>
          <cell r="I508">
            <v>0</v>
          </cell>
          <cell r="J508">
            <v>4000</v>
          </cell>
          <cell r="K508">
            <v>0</v>
          </cell>
          <cell r="L508">
            <v>0</v>
          </cell>
          <cell r="M508">
            <v>4000</v>
          </cell>
          <cell r="N508">
            <v>0</v>
          </cell>
        </row>
        <row r="509">
          <cell r="A509" t="str">
            <v>5100</v>
          </cell>
          <cell r="B509" t="str">
            <v>010700581</v>
          </cell>
          <cell r="C509">
            <v>0</v>
          </cell>
          <cell r="D509">
            <v>2000</v>
          </cell>
          <cell r="E509">
            <v>0</v>
          </cell>
          <cell r="F509">
            <v>0</v>
          </cell>
          <cell r="G509">
            <v>0</v>
          </cell>
          <cell r="H509">
            <v>0</v>
          </cell>
          <cell r="I509">
            <v>0</v>
          </cell>
          <cell r="J509">
            <v>2000</v>
          </cell>
          <cell r="K509">
            <v>0</v>
          </cell>
          <cell r="L509">
            <v>0</v>
          </cell>
          <cell r="M509">
            <v>0</v>
          </cell>
          <cell r="N509">
            <v>0</v>
          </cell>
        </row>
        <row r="510">
          <cell r="A510" t="str">
            <v>5100</v>
          </cell>
          <cell r="B510" t="str">
            <v>010900923</v>
          </cell>
          <cell r="C510">
            <v>0</v>
          </cell>
          <cell r="D510">
            <v>1200</v>
          </cell>
          <cell r="E510">
            <v>0</v>
          </cell>
          <cell r="F510">
            <v>0</v>
          </cell>
          <cell r="G510">
            <v>0</v>
          </cell>
          <cell r="H510">
            <v>0</v>
          </cell>
          <cell r="I510">
            <v>1200</v>
          </cell>
          <cell r="J510">
            <v>0</v>
          </cell>
          <cell r="K510">
            <v>0</v>
          </cell>
          <cell r="L510">
            <v>0</v>
          </cell>
          <cell r="M510">
            <v>0</v>
          </cell>
          <cell r="N510">
            <v>0</v>
          </cell>
        </row>
        <row r="511">
          <cell r="A511" t="str">
            <v>5100</v>
          </cell>
          <cell r="B511" t="str">
            <v>010901052</v>
          </cell>
          <cell r="C511">
            <v>0</v>
          </cell>
          <cell r="D511">
            <v>1200</v>
          </cell>
          <cell r="E511">
            <v>0</v>
          </cell>
          <cell r="F511">
            <v>0</v>
          </cell>
          <cell r="G511">
            <v>0</v>
          </cell>
          <cell r="H511">
            <v>0</v>
          </cell>
          <cell r="I511">
            <v>0</v>
          </cell>
          <cell r="J511">
            <v>1200</v>
          </cell>
          <cell r="K511">
            <v>0</v>
          </cell>
          <cell r="L511">
            <v>0</v>
          </cell>
          <cell r="M511">
            <v>0</v>
          </cell>
          <cell r="N511">
            <v>0</v>
          </cell>
        </row>
        <row r="512">
          <cell r="A512" t="str">
            <v>5100</v>
          </cell>
          <cell r="B512" t="str">
            <v>010901121</v>
          </cell>
          <cell r="C512">
            <v>0</v>
          </cell>
          <cell r="D512">
            <v>1200</v>
          </cell>
          <cell r="E512">
            <v>0</v>
          </cell>
          <cell r="F512">
            <v>0</v>
          </cell>
          <cell r="G512">
            <v>0</v>
          </cell>
          <cell r="H512">
            <v>0</v>
          </cell>
          <cell r="I512">
            <v>1200</v>
          </cell>
          <cell r="J512">
            <v>0</v>
          </cell>
          <cell r="K512">
            <v>0</v>
          </cell>
          <cell r="L512">
            <v>0</v>
          </cell>
          <cell r="M512">
            <v>0</v>
          </cell>
          <cell r="N512">
            <v>0</v>
          </cell>
        </row>
        <row r="513">
          <cell r="A513" t="str">
            <v>5100</v>
          </cell>
          <cell r="B513" t="str">
            <v>010901320</v>
          </cell>
          <cell r="C513">
            <v>0</v>
          </cell>
          <cell r="D513">
            <v>400</v>
          </cell>
          <cell r="E513">
            <v>0</v>
          </cell>
          <cell r="F513">
            <v>0</v>
          </cell>
          <cell r="G513">
            <v>0</v>
          </cell>
          <cell r="H513">
            <v>0</v>
          </cell>
          <cell r="I513">
            <v>0</v>
          </cell>
          <cell r="J513">
            <v>400</v>
          </cell>
          <cell r="K513">
            <v>0</v>
          </cell>
          <cell r="L513">
            <v>0</v>
          </cell>
          <cell r="M513">
            <v>0</v>
          </cell>
          <cell r="N513">
            <v>0</v>
          </cell>
        </row>
        <row r="514">
          <cell r="A514" t="str">
            <v>5100</v>
          </cell>
          <cell r="B514" t="str">
            <v>010901330</v>
          </cell>
          <cell r="C514">
            <v>0</v>
          </cell>
          <cell r="D514">
            <v>400</v>
          </cell>
          <cell r="E514">
            <v>0</v>
          </cell>
          <cell r="F514">
            <v>0</v>
          </cell>
          <cell r="G514">
            <v>0</v>
          </cell>
          <cell r="H514">
            <v>0</v>
          </cell>
          <cell r="I514">
            <v>0</v>
          </cell>
          <cell r="J514">
            <v>400</v>
          </cell>
          <cell r="K514">
            <v>0</v>
          </cell>
          <cell r="L514">
            <v>0</v>
          </cell>
          <cell r="M514">
            <v>0</v>
          </cell>
          <cell r="N514">
            <v>0</v>
          </cell>
        </row>
        <row r="515">
          <cell r="A515" t="str">
            <v>5100</v>
          </cell>
          <cell r="B515" t="str">
            <v>010901630</v>
          </cell>
          <cell r="C515">
            <v>0</v>
          </cell>
          <cell r="D515">
            <v>1200</v>
          </cell>
          <cell r="E515">
            <v>0</v>
          </cell>
          <cell r="F515">
            <v>0</v>
          </cell>
          <cell r="G515">
            <v>0</v>
          </cell>
          <cell r="H515">
            <v>0</v>
          </cell>
          <cell r="I515">
            <v>1200</v>
          </cell>
          <cell r="J515">
            <v>0</v>
          </cell>
          <cell r="K515">
            <v>0</v>
          </cell>
          <cell r="L515">
            <v>0</v>
          </cell>
          <cell r="M515">
            <v>0</v>
          </cell>
          <cell r="N515">
            <v>0</v>
          </cell>
        </row>
        <row r="516">
          <cell r="A516" t="str">
            <v>5100</v>
          </cell>
          <cell r="B516" t="str">
            <v>010901640</v>
          </cell>
          <cell r="C516">
            <v>0</v>
          </cell>
          <cell r="D516">
            <v>1200</v>
          </cell>
          <cell r="E516">
            <v>0</v>
          </cell>
          <cell r="F516">
            <v>0</v>
          </cell>
          <cell r="G516">
            <v>0</v>
          </cell>
          <cell r="H516">
            <v>0</v>
          </cell>
          <cell r="I516">
            <v>1200</v>
          </cell>
          <cell r="J516">
            <v>0</v>
          </cell>
          <cell r="K516">
            <v>0</v>
          </cell>
          <cell r="L516">
            <v>0</v>
          </cell>
          <cell r="M516">
            <v>0</v>
          </cell>
          <cell r="N516">
            <v>0</v>
          </cell>
        </row>
        <row r="517">
          <cell r="A517" t="str">
            <v>5100</v>
          </cell>
          <cell r="B517" t="str">
            <v>010901720</v>
          </cell>
          <cell r="C517">
            <v>0</v>
          </cell>
          <cell r="D517">
            <v>400</v>
          </cell>
          <cell r="E517">
            <v>0</v>
          </cell>
          <cell r="F517">
            <v>0</v>
          </cell>
          <cell r="G517">
            <v>0</v>
          </cell>
          <cell r="H517">
            <v>0</v>
          </cell>
          <cell r="I517">
            <v>0</v>
          </cell>
          <cell r="J517">
            <v>400</v>
          </cell>
          <cell r="K517">
            <v>0</v>
          </cell>
          <cell r="L517">
            <v>0</v>
          </cell>
          <cell r="M517">
            <v>0</v>
          </cell>
          <cell r="N517">
            <v>0</v>
          </cell>
        </row>
        <row r="518">
          <cell r="A518" t="str">
            <v>5100</v>
          </cell>
          <cell r="B518" t="str">
            <v>010901730</v>
          </cell>
          <cell r="C518">
            <v>0</v>
          </cell>
          <cell r="D518">
            <v>400</v>
          </cell>
          <cell r="E518">
            <v>0</v>
          </cell>
          <cell r="F518">
            <v>0</v>
          </cell>
          <cell r="G518">
            <v>0</v>
          </cell>
          <cell r="H518">
            <v>0</v>
          </cell>
          <cell r="I518">
            <v>0</v>
          </cell>
          <cell r="J518">
            <v>400</v>
          </cell>
          <cell r="K518">
            <v>0</v>
          </cell>
          <cell r="L518">
            <v>0</v>
          </cell>
          <cell r="M518">
            <v>0</v>
          </cell>
          <cell r="N518">
            <v>0</v>
          </cell>
        </row>
        <row r="519">
          <cell r="A519" t="str">
            <v>5100</v>
          </cell>
          <cell r="B519" t="str">
            <v>011301481</v>
          </cell>
          <cell r="C519">
            <v>0</v>
          </cell>
          <cell r="D519">
            <v>200</v>
          </cell>
          <cell r="E519">
            <v>0</v>
          </cell>
          <cell r="F519">
            <v>0</v>
          </cell>
          <cell r="G519">
            <v>0</v>
          </cell>
          <cell r="H519">
            <v>0</v>
          </cell>
          <cell r="I519">
            <v>200</v>
          </cell>
          <cell r="J519">
            <v>0</v>
          </cell>
          <cell r="K519">
            <v>0</v>
          </cell>
          <cell r="L519">
            <v>0</v>
          </cell>
          <cell r="M519">
            <v>0</v>
          </cell>
          <cell r="N519">
            <v>0</v>
          </cell>
        </row>
        <row r="520">
          <cell r="A520" t="str">
            <v>5100</v>
          </cell>
          <cell r="B520" t="str">
            <v>011301840</v>
          </cell>
          <cell r="C520">
            <v>0</v>
          </cell>
          <cell r="D520">
            <v>250</v>
          </cell>
          <cell r="E520">
            <v>0</v>
          </cell>
          <cell r="F520">
            <v>0</v>
          </cell>
          <cell r="G520">
            <v>0</v>
          </cell>
          <cell r="H520">
            <v>0</v>
          </cell>
          <cell r="I520">
            <v>250</v>
          </cell>
          <cell r="J520">
            <v>0</v>
          </cell>
          <cell r="K520">
            <v>0</v>
          </cell>
          <cell r="L520">
            <v>0</v>
          </cell>
          <cell r="M520">
            <v>0</v>
          </cell>
          <cell r="N520">
            <v>0</v>
          </cell>
        </row>
        <row r="521">
          <cell r="A521" t="str">
            <v>5100</v>
          </cell>
          <cell r="B521" t="str">
            <v>011301860</v>
          </cell>
          <cell r="C521">
            <v>0</v>
          </cell>
          <cell r="D521">
            <v>1000</v>
          </cell>
          <cell r="E521">
            <v>0</v>
          </cell>
          <cell r="F521">
            <v>0</v>
          </cell>
          <cell r="G521">
            <v>0</v>
          </cell>
          <cell r="H521">
            <v>0</v>
          </cell>
          <cell r="I521">
            <v>1000</v>
          </cell>
          <cell r="J521">
            <v>0</v>
          </cell>
          <cell r="K521">
            <v>0</v>
          </cell>
          <cell r="L521">
            <v>0</v>
          </cell>
          <cell r="M521">
            <v>0</v>
          </cell>
          <cell r="N521">
            <v>0</v>
          </cell>
        </row>
        <row r="522">
          <cell r="A522" t="str">
            <v>5100</v>
          </cell>
          <cell r="B522" t="str">
            <v>011302011</v>
          </cell>
          <cell r="C522">
            <v>0</v>
          </cell>
          <cell r="D522">
            <v>1200</v>
          </cell>
          <cell r="E522">
            <v>0</v>
          </cell>
          <cell r="F522">
            <v>0</v>
          </cell>
          <cell r="G522">
            <v>0</v>
          </cell>
          <cell r="H522">
            <v>0</v>
          </cell>
          <cell r="I522">
            <v>1200</v>
          </cell>
          <cell r="J522">
            <v>0</v>
          </cell>
          <cell r="K522">
            <v>0</v>
          </cell>
          <cell r="L522">
            <v>0</v>
          </cell>
          <cell r="M522">
            <v>0</v>
          </cell>
          <cell r="N522">
            <v>0</v>
          </cell>
        </row>
        <row r="523">
          <cell r="A523" t="str">
            <v>5100</v>
          </cell>
          <cell r="B523" t="str">
            <v>011302020</v>
          </cell>
          <cell r="C523">
            <v>0</v>
          </cell>
          <cell r="D523">
            <v>500</v>
          </cell>
          <cell r="E523">
            <v>0</v>
          </cell>
          <cell r="F523">
            <v>0</v>
          </cell>
          <cell r="G523">
            <v>0</v>
          </cell>
          <cell r="H523">
            <v>0</v>
          </cell>
          <cell r="I523">
            <v>500</v>
          </cell>
          <cell r="J523">
            <v>0</v>
          </cell>
          <cell r="K523">
            <v>0</v>
          </cell>
          <cell r="L523">
            <v>0</v>
          </cell>
          <cell r="M523">
            <v>0</v>
          </cell>
          <cell r="N523">
            <v>0</v>
          </cell>
        </row>
        <row r="524">
          <cell r="A524" t="str">
            <v>5100</v>
          </cell>
          <cell r="B524" t="str">
            <v>011302100</v>
          </cell>
          <cell r="C524">
            <v>0</v>
          </cell>
          <cell r="D524">
            <v>550</v>
          </cell>
          <cell r="E524">
            <v>0</v>
          </cell>
          <cell r="F524">
            <v>0</v>
          </cell>
          <cell r="G524">
            <v>0</v>
          </cell>
          <cell r="H524">
            <v>0</v>
          </cell>
          <cell r="I524">
            <v>550</v>
          </cell>
          <cell r="J524">
            <v>0</v>
          </cell>
          <cell r="K524">
            <v>0</v>
          </cell>
          <cell r="L524">
            <v>0</v>
          </cell>
          <cell r="M524">
            <v>0</v>
          </cell>
          <cell r="N524">
            <v>0</v>
          </cell>
        </row>
        <row r="525">
          <cell r="A525" t="str">
            <v>5100</v>
          </cell>
          <cell r="B525" t="str">
            <v>011302140</v>
          </cell>
          <cell r="C525">
            <v>0</v>
          </cell>
          <cell r="D525">
            <v>150</v>
          </cell>
          <cell r="E525">
            <v>0</v>
          </cell>
          <cell r="F525">
            <v>0</v>
          </cell>
          <cell r="G525">
            <v>0</v>
          </cell>
          <cell r="H525">
            <v>0</v>
          </cell>
          <cell r="I525">
            <v>150</v>
          </cell>
          <cell r="J525">
            <v>0</v>
          </cell>
          <cell r="K525">
            <v>0</v>
          </cell>
          <cell r="L525">
            <v>0</v>
          </cell>
          <cell r="M525">
            <v>0</v>
          </cell>
          <cell r="N525">
            <v>0</v>
          </cell>
        </row>
        <row r="526">
          <cell r="A526" t="str">
            <v>5100</v>
          </cell>
          <cell r="B526" t="str">
            <v>011302390</v>
          </cell>
          <cell r="C526">
            <v>0</v>
          </cell>
          <cell r="D526">
            <v>300</v>
          </cell>
          <cell r="E526">
            <v>0</v>
          </cell>
          <cell r="F526">
            <v>0</v>
          </cell>
          <cell r="G526">
            <v>0</v>
          </cell>
          <cell r="H526">
            <v>0</v>
          </cell>
          <cell r="I526">
            <v>0</v>
          </cell>
          <cell r="J526">
            <v>300</v>
          </cell>
          <cell r="K526">
            <v>0</v>
          </cell>
          <cell r="L526">
            <v>0</v>
          </cell>
          <cell r="M526">
            <v>0</v>
          </cell>
          <cell r="N526">
            <v>0</v>
          </cell>
        </row>
        <row r="527">
          <cell r="A527" t="str">
            <v>5100</v>
          </cell>
          <cell r="B527" t="str">
            <v>011302400</v>
          </cell>
          <cell r="C527">
            <v>0</v>
          </cell>
          <cell r="D527">
            <v>300</v>
          </cell>
          <cell r="E527">
            <v>0</v>
          </cell>
          <cell r="F527">
            <v>0</v>
          </cell>
          <cell r="G527">
            <v>0</v>
          </cell>
          <cell r="H527">
            <v>0</v>
          </cell>
          <cell r="I527">
            <v>0</v>
          </cell>
          <cell r="J527">
            <v>300</v>
          </cell>
          <cell r="K527">
            <v>0</v>
          </cell>
          <cell r="L527">
            <v>0</v>
          </cell>
          <cell r="M527">
            <v>0</v>
          </cell>
          <cell r="N527">
            <v>0</v>
          </cell>
        </row>
        <row r="528">
          <cell r="A528" t="str">
            <v>5100</v>
          </cell>
          <cell r="B528" t="str">
            <v>011401403</v>
          </cell>
          <cell r="C528">
            <v>0</v>
          </cell>
          <cell r="D528">
            <v>500</v>
          </cell>
          <cell r="E528">
            <v>0</v>
          </cell>
          <cell r="F528">
            <v>0</v>
          </cell>
          <cell r="G528">
            <v>0</v>
          </cell>
          <cell r="H528">
            <v>0</v>
          </cell>
          <cell r="I528">
            <v>0</v>
          </cell>
          <cell r="J528">
            <v>0</v>
          </cell>
          <cell r="K528">
            <v>500</v>
          </cell>
          <cell r="L528">
            <v>0</v>
          </cell>
          <cell r="M528">
            <v>0</v>
          </cell>
          <cell r="N528">
            <v>0</v>
          </cell>
        </row>
        <row r="529">
          <cell r="A529" t="str">
            <v>5100</v>
          </cell>
          <cell r="B529" t="str">
            <v>011401786</v>
          </cell>
          <cell r="C529">
            <v>0</v>
          </cell>
          <cell r="D529">
            <v>700</v>
          </cell>
          <cell r="E529">
            <v>0</v>
          </cell>
          <cell r="F529">
            <v>0</v>
          </cell>
          <cell r="G529">
            <v>0</v>
          </cell>
          <cell r="H529">
            <v>0</v>
          </cell>
          <cell r="I529">
            <v>0</v>
          </cell>
          <cell r="J529">
            <v>700</v>
          </cell>
          <cell r="K529">
            <v>0</v>
          </cell>
          <cell r="L529">
            <v>0</v>
          </cell>
          <cell r="M529">
            <v>0</v>
          </cell>
          <cell r="N529">
            <v>0</v>
          </cell>
        </row>
        <row r="530">
          <cell r="A530" t="str">
            <v>5100</v>
          </cell>
          <cell r="B530" t="str">
            <v>011401913</v>
          </cell>
          <cell r="C530">
            <v>0</v>
          </cell>
          <cell r="D530">
            <v>1500</v>
          </cell>
          <cell r="E530">
            <v>0</v>
          </cell>
          <cell r="F530">
            <v>0</v>
          </cell>
          <cell r="G530">
            <v>0</v>
          </cell>
          <cell r="H530">
            <v>0</v>
          </cell>
          <cell r="I530">
            <v>1500</v>
          </cell>
          <cell r="J530">
            <v>0</v>
          </cell>
          <cell r="K530">
            <v>0</v>
          </cell>
          <cell r="L530">
            <v>0</v>
          </cell>
          <cell r="M530">
            <v>0</v>
          </cell>
          <cell r="N530">
            <v>0</v>
          </cell>
        </row>
        <row r="531">
          <cell r="A531" t="str">
            <v>5100</v>
          </cell>
          <cell r="B531" t="str">
            <v>011401924</v>
          </cell>
          <cell r="C531">
            <v>0</v>
          </cell>
          <cell r="D531">
            <v>1000</v>
          </cell>
          <cell r="E531">
            <v>0</v>
          </cell>
          <cell r="F531">
            <v>0</v>
          </cell>
          <cell r="G531">
            <v>0</v>
          </cell>
          <cell r="H531">
            <v>0</v>
          </cell>
          <cell r="I531">
            <v>1000</v>
          </cell>
          <cell r="J531">
            <v>0</v>
          </cell>
          <cell r="K531">
            <v>0</v>
          </cell>
          <cell r="L531">
            <v>0</v>
          </cell>
          <cell r="M531">
            <v>0</v>
          </cell>
          <cell r="N531">
            <v>0</v>
          </cell>
        </row>
        <row r="532">
          <cell r="A532" t="str">
            <v>5100</v>
          </cell>
          <cell r="B532" t="str">
            <v>011401962</v>
          </cell>
          <cell r="C532">
            <v>0</v>
          </cell>
          <cell r="D532">
            <v>0</v>
          </cell>
          <cell r="E532">
            <v>0</v>
          </cell>
          <cell r="F532">
            <v>0</v>
          </cell>
          <cell r="G532">
            <v>0</v>
          </cell>
          <cell r="H532">
            <v>0</v>
          </cell>
          <cell r="I532">
            <v>0</v>
          </cell>
          <cell r="J532">
            <v>0</v>
          </cell>
          <cell r="K532">
            <v>0</v>
          </cell>
          <cell r="L532">
            <v>0</v>
          </cell>
          <cell r="M532">
            <v>0</v>
          </cell>
          <cell r="N532">
            <v>0</v>
          </cell>
        </row>
        <row r="533">
          <cell r="A533" t="str">
            <v>5100</v>
          </cell>
          <cell r="B533" t="str">
            <v>011402114</v>
          </cell>
          <cell r="C533">
            <v>0</v>
          </cell>
          <cell r="D533">
            <v>1500</v>
          </cell>
          <cell r="E533">
            <v>0</v>
          </cell>
          <cell r="F533">
            <v>0</v>
          </cell>
          <cell r="G533">
            <v>0</v>
          </cell>
          <cell r="H533">
            <v>0</v>
          </cell>
          <cell r="I533">
            <v>0</v>
          </cell>
          <cell r="J533">
            <v>1500</v>
          </cell>
          <cell r="K533">
            <v>0</v>
          </cell>
          <cell r="L533">
            <v>0</v>
          </cell>
          <cell r="M533">
            <v>0</v>
          </cell>
          <cell r="N533">
            <v>0</v>
          </cell>
        </row>
        <row r="534">
          <cell r="A534" t="str">
            <v>5100</v>
          </cell>
          <cell r="B534" t="str">
            <v>011402840</v>
          </cell>
          <cell r="C534">
            <v>0</v>
          </cell>
          <cell r="D534">
            <v>250</v>
          </cell>
          <cell r="E534">
            <v>0</v>
          </cell>
          <cell r="F534">
            <v>0</v>
          </cell>
          <cell r="G534">
            <v>0</v>
          </cell>
          <cell r="H534">
            <v>0</v>
          </cell>
          <cell r="I534">
            <v>0</v>
          </cell>
          <cell r="J534">
            <v>250</v>
          </cell>
          <cell r="K534">
            <v>0</v>
          </cell>
          <cell r="L534">
            <v>0</v>
          </cell>
          <cell r="M534">
            <v>0</v>
          </cell>
          <cell r="N534">
            <v>0</v>
          </cell>
        </row>
        <row r="535">
          <cell r="A535" t="str">
            <v>5100</v>
          </cell>
          <cell r="B535" t="str">
            <v>011403200</v>
          </cell>
          <cell r="C535">
            <v>0</v>
          </cell>
          <cell r="D535">
            <v>250</v>
          </cell>
          <cell r="E535">
            <v>0</v>
          </cell>
          <cell r="F535">
            <v>0</v>
          </cell>
          <cell r="G535">
            <v>0</v>
          </cell>
          <cell r="H535">
            <v>0</v>
          </cell>
          <cell r="I535">
            <v>250</v>
          </cell>
          <cell r="J535">
            <v>0</v>
          </cell>
          <cell r="K535">
            <v>0</v>
          </cell>
          <cell r="L535">
            <v>0</v>
          </cell>
          <cell r="M535">
            <v>0</v>
          </cell>
          <cell r="N535">
            <v>0</v>
          </cell>
        </row>
        <row r="536">
          <cell r="A536" t="str">
            <v>5100</v>
          </cell>
          <cell r="B536" t="str">
            <v>011403210</v>
          </cell>
          <cell r="C536">
            <v>0</v>
          </cell>
          <cell r="D536">
            <v>250</v>
          </cell>
          <cell r="E536">
            <v>0</v>
          </cell>
          <cell r="F536">
            <v>0</v>
          </cell>
          <cell r="G536">
            <v>0</v>
          </cell>
          <cell r="H536">
            <v>0</v>
          </cell>
          <cell r="I536">
            <v>250</v>
          </cell>
          <cell r="J536">
            <v>0</v>
          </cell>
          <cell r="K536">
            <v>0</v>
          </cell>
          <cell r="L536">
            <v>0</v>
          </cell>
          <cell r="M536">
            <v>0</v>
          </cell>
          <cell r="N536">
            <v>0</v>
          </cell>
        </row>
        <row r="537">
          <cell r="A537" t="str">
            <v>5100</v>
          </cell>
          <cell r="B537" t="str">
            <v>011403310</v>
          </cell>
          <cell r="C537">
            <v>0</v>
          </cell>
          <cell r="D537">
            <v>500</v>
          </cell>
          <cell r="E537">
            <v>0</v>
          </cell>
          <cell r="F537">
            <v>0</v>
          </cell>
          <cell r="G537">
            <v>0</v>
          </cell>
          <cell r="H537">
            <v>0</v>
          </cell>
          <cell r="I537">
            <v>0</v>
          </cell>
          <cell r="J537">
            <v>500</v>
          </cell>
          <cell r="K537">
            <v>0</v>
          </cell>
          <cell r="L537">
            <v>0</v>
          </cell>
          <cell r="M537">
            <v>0</v>
          </cell>
          <cell r="N537">
            <v>0</v>
          </cell>
        </row>
        <row r="538">
          <cell r="A538" t="str">
            <v>5100</v>
          </cell>
          <cell r="B538" t="str">
            <v>011403402</v>
          </cell>
          <cell r="C538">
            <v>0</v>
          </cell>
          <cell r="D538">
            <v>150</v>
          </cell>
          <cell r="E538">
            <v>0</v>
          </cell>
          <cell r="F538">
            <v>0</v>
          </cell>
          <cell r="G538">
            <v>0</v>
          </cell>
          <cell r="H538">
            <v>0</v>
          </cell>
          <cell r="I538">
            <v>0</v>
          </cell>
          <cell r="J538">
            <v>0</v>
          </cell>
          <cell r="K538">
            <v>150</v>
          </cell>
          <cell r="L538">
            <v>0</v>
          </cell>
          <cell r="M538">
            <v>0</v>
          </cell>
          <cell r="N538">
            <v>0</v>
          </cell>
        </row>
        <row r="539">
          <cell r="A539" t="str">
            <v>5100</v>
          </cell>
          <cell r="B539" t="str">
            <v>011403692</v>
          </cell>
          <cell r="C539">
            <v>0</v>
          </cell>
          <cell r="D539">
            <v>500</v>
          </cell>
          <cell r="E539">
            <v>0</v>
          </cell>
          <cell r="F539">
            <v>0</v>
          </cell>
          <cell r="G539">
            <v>0</v>
          </cell>
          <cell r="H539">
            <v>0</v>
          </cell>
          <cell r="I539">
            <v>0</v>
          </cell>
          <cell r="J539">
            <v>500</v>
          </cell>
          <cell r="K539">
            <v>0</v>
          </cell>
          <cell r="L539">
            <v>0</v>
          </cell>
          <cell r="M539">
            <v>0</v>
          </cell>
          <cell r="N539">
            <v>0</v>
          </cell>
        </row>
        <row r="540">
          <cell r="A540" t="str">
            <v>5100</v>
          </cell>
          <cell r="B540" t="str">
            <v>011404071</v>
          </cell>
          <cell r="C540">
            <v>0</v>
          </cell>
          <cell r="D540">
            <v>2000</v>
          </cell>
          <cell r="E540">
            <v>0</v>
          </cell>
          <cell r="F540">
            <v>0</v>
          </cell>
          <cell r="G540">
            <v>0</v>
          </cell>
          <cell r="H540">
            <v>0</v>
          </cell>
          <cell r="I540">
            <v>2000</v>
          </cell>
          <cell r="J540">
            <v>0</v>
          </cell>
          <cell r="K540">
            <v>0</v>
          </cell>
          <cell r="L540">
            <v>0</v>
          </cell>
          <cell r="M540">
            <v>0</v>
          </cell>
          <cell r="N540">
            <v>0</v>
          </cell>
        </row>
        <row r="541">
          <cell r="A541" t="str">
            <v>5100</v>
          </cell>
          <cell r="B541" t="str">
            <v>011404083</v>
          </cell>
          <cell r="C541">
            <v>0</v>
          </cell>
          <cell r="D541">
            <v>2000</v>
          </cell>
          <cell r="E541">
            <v>0</v>
          </cell>
          <cell r="F541">
            <v>0</v>
          </cell>
          <cell r="G541">
            <v>0</v>
          </cell>
          <cell r="H541">
            <v>0</v>
          </cell>
          <cell r="I541">
            <v>0</v>
          </cell>
          <cell r="J541">
            <v>0</v>
          </cell>
          <cell r="K541">
            <v>2000</v>
          </cell>
          <cell r="L541">
            <v>0</v>
          </cell>
          <cell r="M541">
            <v>0</v>
          </cell>
          <cell r="N541">
            <v>0</v>
          </cell>
        </row>
        <row r="542">
          <cell r="A542" t="str">
            <v>5100</v>
          </cell>
          <cell r="B542" t="str">
            <v>011404180</v>
          </cell>
          <cell r="C542">
            <v>0</v>
          </cell>
          <cell r="D542">
            <v>1000</v>
          </cell>
          <cell r="E542">
            <v>0</v>
          </cell>
          <cell r="F542">
            <v>0</v>
          </cell>
          <cell r="G542">
            <v>0</v>
          </cell>
          <cell r="H542">
            <v>0</v>
          </cell>
          <cell r="I542">
            <v>1000</v>
          </cell>
          <cell r="J542">
            <v>0</v>
          </cell>
          <cell r="K542">
            <v>0</v>
          </cell>
          <cell r="L542">
            <v>0</v>
          </cell>
          <cell r="M542">
            <v>0</v>
          </cell>
          <cell r="N542">
            <v>0</v>
          </cell>
        </row>
        <row r="543">
          <cell r="A543" t="str">
            <v>5100</v>
          </cell>
          <cell r="B543" t="str">
            <v>011404301</v>
          </cell>
          <cell r="C543">
            <v>0</v>
          </cell>
          <cell r="D543">
            <v>300</v>
          </cell>
          <cell r="E543">
            <v>0</v>
          </cell>
          <cell r="F543">
            <v>0</v>
          </cell>
          <cell r="G543">
            <v>0</v>
          </cell>
          <cell r="H543">
            <v>0</v>
          </cell>
          <cell r="I543">
            <v>300</v>
          </cell>
          <cell r="J543">
            <v>0</v>
          </cell>
          <cell r="K543">
            <v>0</v>
          </cell>
          <cell r="L543">
            <v>0</v>
          </cell>
          <cell r="M543">
            <v>0</v>
          </cell>
          <cell r="N543">
            <v>0</v>
          </cell>
        </row>
        <row r="544">
          <cell r="A544" t="str">
            <v>5100</v>
          </cell>
          <cell r="B544" t="str">
            <v>011405011</v>
          </cell>
          <cell r="C544">
            <v>0</v>
          </cell>
          <cell r="D544">
            <v>300</v>
          </cell>
          <cell r="E544">
            <v>0</v>
          </cell>
          <cell r="F544">
            <v>0</v>
          </cell>
          <cell r="G544">
            <v>0</v>
          </cell>
          <cell r="H544">
            <v>0</v>
          </cell>
          <cell r="I544">
            <v>300</v>
          </cell>
          <cell r="J544">
            <v>0</v>
          </cell>
          <cell r="K544">
            <v>0</v>
          </cell>
          <cell r="L544">
            <v>0</v>
          </cell>
          <cell r="M544">
            <v>0</v>
          </cell>
          <cell r="N544">
            <v>0</v>
          </cell>
        </row>
        <row r="545">
          <cell r="A545" t="str">
            <v>5100</v>
          </cell>
          <cell r="B545" t="str">
            <v>011405051</v>
          </cell>
          <cell r="C545">
            <v>0</v>
          </cell>
          <cell r="D545">
            <v>0</v>
          </cell>
          <cell r="E545">
            <v>0</v>
          </cell>
          <cell r="F545">
            <v>0</v>
          </cell>
          <cell r="G545">
            <v>0</v>
          </cell>
          <cell r="H545">
            <v>0</v>
          </cell>
          <cell r="I545">
            <v>0</v>
          </cell>
          <cell r="J545">
            <v>0</v>
          </cell>
          <cell r="K545">
            <v>0</v>
          </cell>
          <cell r="L545">
            <v>0</v>
          </cell>
          <cell r="M545">
            <v>0</v>
          </cell>
          <cell r="N545">
            <v>0</v>
          </cell>
        </row>
        <row r="546">
          <cell r="A546" t="str">
            <v>5100</v>
          </cell>
          <cell r="B546" t="str">
            <v>011405082</v>
          </cell>
          <cell r="C546">
            <v>0</v>
          </cell>
          <cell r="D546">
            <v>1000</v>
          </cell>
          <cell r="E546">
            <v>0</v>
          </cell>
          <cell r="F546">
            <v>0</v>
          </cell>
          <cell r="G546">
            <v>0</v>
          </cell>
          <cell r="H546">
            <v>0</v>
          </cell>
          <cell r="I546">
            <v>1000</v>
          </cell>
          <cell r="J546">
            <v>0</v>
          </cell>
          <cell r="K546">
            <v>0</v>
          </cell>
          <cell r="L546">
            <v>0</v>
          </cell>
          <cell r="M546">
            <v>0</v>
          </cell>
          <cell r="N546">
            <v>0</v>
          </cell>
        </row>
        <row r="547">
          <cell r="A547" t="str">
            <v>5100</v>
          </cell>
          <cell r="B547" t="str">
            <v>011405092</v>
          </cell>
          <cell r="C547">
            <v>0</v>
          </cell>
          <cell r="D547">
            <v>1000</v>
          </cell>
          <cell r="E547">
            <v>0</v>
          </cell>
          <cell r="F547">
            <v>0</v>
          </cell>
          <cell r="G547">
            <v>0</v>
          </cell>
          <cell r="H547">
            <v>0</v>
          </cell>
          <cell r="I547">
            <v>1000</v>
          </cell>
          <cell r="J547">
            <v>0</v>
          </cell>
          <cell r="K547">
            <v>0</v>
          </cell>
          <cell r="L547">
            <v>0</v>
          </cell>
          <cell r="M547">
            <v>0</v>
          </cell>
          <cell r="N547">
            <v>0</v>
          </cell>
        </row>
        <row r="548">
          <cell r="A548" t="str">
            <v>5100</v>
          </cell>
          <cell r="B548" t="str">
            <v>011405371</v>
          </cell>
          <cell r="C548">
            <v>0</v>
          </cell>
          <cell r="D548">
            <v>1200</v>
          </cell>
          <cell r="E548">
            <v>0</v>
          </cell>
          <cell r="F548">
            <v>0</v>
          </cell>
          <cell r="G548">
            <v>0</v>
          </cell>
          <cell r="H548">
            <v>0</v>
          </cell>
          <cell r="I548">
            <v>1200</v>
          </cell>
          <cell r="J548">
            <v>0</v>
          </cell>
          <cell r="K548">
            <v>0</v>
          </cell>
          <cell r="L548">
            <v>0</v>
          </cell>
          <cell r="M548">
            <v>0</v>
          </cell>
          <cell r="N548">
            <v>0</v>
          </cell>
        </row>
        <row r="549">
          <cell r="A549" t="str">
            <v>5100</v>
          </cell>
          <cell r="B549" t="str">
            <v>011405401</v>
          </cell>
          <cell r="C549">
            <v>0</v>
          </cell>
          <cell r="D549">
            <v>1200</v>
          </cell>
          <cell r="E549">
            <v>0</v>
          </cell>
          <cell r="F549">
            <v>0</v>
          </cell>
          <cell r="G549">
            <v>0</v>
          </cell>
          <cell r="H549">
            <v>0</v>
          </cell>
          <cell r="I549">
            <v>0</v>
          </cell>
          <cell r="J549">
            <v>1200</v>
          </cell>
          <cell r="K549">
            <v>0</v>
          </cell>
          <cell r="L549">
            <v>0</v>
          </cell>
          <cell r="M549">
            <v>0</v>
          </cell>
          <cell r="N549">
            <v>0</v>
          </cell>
        </row>
        <row r="550">
          <cell r="A550" t="str">
            <v>5100</v>
          </cell>
          <cell r="B550" t="str">
            <v>011405420</v>
          </cell>
          <cell r="C550">
            <v>0</v>
          </cell>
          <cell r="D550">
            <v>400</v>
          </cell>
          <cell r="E550">
            <v>0</v>
          </cell>
          <cell r="F550">
            <v>0</v>
          </cell>
          <cell r="G550">
            <v>0</v>
          </cell>
          <cell r="H550">
            <v>0</v>
          </cell>
          <cell r="I550">
            <v>400</v>
          </cell>
          <cell r="J550">
            <v>0</v>
          </cell>
          <cell r="K550">
            <v>0</v>
          </cell>
          <cell r="L550">
            <v>0</v>
          </cell>
          <cell r="M550">
            <v>0</v>
          </cell>
          <cell r="N550">
            <v>0</v>
          </cell>
        </row>
        <row r="551">
          <cell r="A551" t="str">
            <v>5100</v>
          </cell>
          <cell r="B551" t="str">
            <v>011405490</v>
          </cell>
          <cell r="C551">
            <v>0</v>
          </cell>
          <cell r="D551">
            <v>2000</v>
          </cell>
          <cell r="E551">
            <v>0</v>
          </cell>
          <cell r="F551">
            <v>0</v>
          </cell>
          <cell r="G551">
            <v>0</v>
          </cell>
          <cell r="H551">
            <v>0</v>
          </cell>
          <cell r="I551">
            <v>2000</v>
          </cell>
          <cell r="J551">
            <v>0</v>
          </cell>
          <cell r="K551">
            <v>0</v>
          </cell>
          <cell r="L551">
            <v>0</v>
          </cell>
          <cell r="M551">
            <v>0</v>
          </cell>
          <cell r="N551">
            <v>0</v>
          </cell>
        </row>
        <row r="552">
          <cell r="A552" t="str">
            <v>5100</v>
          </cell>
          <cell r="B552" t="str">
            <v>011405500</v>
          </cell>
          <cell r="C552">
            <v>0</v>
          </cell>
          <cell r="D552">
            <v>2000</v>
          </cell>
          <cell r="E552">
            <v>0</v>
          </cell>
          <cell r="F552">
            <v>0</v>
          </cell>
          <cell r="G552">
            <v>0</v>
          </cell>
          <cell r="H552">
            <v>0</v>
          </cell>
          <cell r="I552">
            <v>2000</v>
          </cell>
          <cell r="J552">
            <v>0</v>
          </cell>
          <cell r="K552">
            <v>0</v>
          </cell>
          <cell r="L552">
            <v>0</v>
          </cell>
          <cell r="M552">
            <v>0</v>
          </cell>
          <cell r="N552">
            <v>0</v>
          </cell>
        </row>
        <row r="553">
          <cell r="A553" t="str">
            <v>5100</v>
          </cell>
          <cell r="B553" t="str">
            <v>011405601</v>
          </cell>
          <cell r="C553">
            <v>0</v>
          </cell>
          <cell r="D553">
            <v>500</v>
          </cell>
          <cell r="E553">
            <v>0</v>
          </cell>
          <cell r="F553">
            <v>0</v>
          </cell>
          <cell r="G553">
            <v>0</v>
          </cell>
          <cell r="H553">
            <v>0</v>
          </cell>
          <cell r="I553">
            <v>500</v>
          </cell>
          <cell r="J553">
            <v>0</v>
          </cell>
          <cell r="K553">
            <v>0</v>
          </cell>
          <cell r="L553">
            <v>0</v>
          </cell>
          <cell r="M553">
            <v>0</v>
          </cell>
          <cell r="N553">
            <v>0</v>
          </cell>
        </row>
        <row r="554">
          <cell r="A554" t="str">
            <v>5100</v>
          </cell>
          <cell r="B554" t="str">
            <v>011405610</v>
          </cell>
          <cell r="C554">
            <v>0</v>
          </cell>
          <cell r="D554">
            <v>2000</v>
          </cell>
          <cell r="E554">
            <v>0</v>
          </cell>
          <cell r="F554">
            <v>0</v>
          </cell>
          <cell r="G554">
            <v>0</v>
          </cell>
          <cell r="H554">
            <v>0</v>
          </cell>
          <cell r="I554">
            <v>0</v>
          </cell>
          <cell r="J554">
            <v>0</v>
          </cell>
          <cell r="K554">
            <v>2000</v>
          </cell>
          <cell r="L554">
            <v>0</v>
          </cell>
          <cell r="M554">
            <v>0</v>
          </cell>
          <cell r="N554">
            <v>0</v>
          </cell>
        </row>
        <row r="555">
          <cell r="A555" t="str">
            <v>5100</v>
          </cell>
          <cell r="B555" t="str">
            <v>011405670</v>
          </cell>
          <cell r="C555">
            <v>0</v>
          </cell>
          <cell r="D555">
            <v>200</v>
          </cell>
          <cell r="E555">
            <v>0</v>
          </cell>
          <cell r="F555">
            <v>0</v>
          </cell>
          <cell r="G555">
            <v>0</v>
          </cell>
          <cell r="H555">
            <v>0</v>
          </cell>
          <cell r="I555">
            <v>200</v>
          </cell>
          <cell r="J555">
            <v>0</v>
          </cell>
          <cell r="K555">
            <v>0</v>
          </cell>
          <cell r="L555">
            <v>0</v>
          </cell>
          <cell r="M555">
            <v>0</v>
          </cell>
          <cell r="N555">
            <v>0</v>
          </cell>
        </row>
        <row r="556">
          <cell r="A556" t="str">
            <v>5100</v>
          </cell>
          <cell r="B556" t="str">
            <v>011405680</v>
          </cell>
          <cell r="C556">
            <v>0</v>
          </cell>
          <cell r="D556">
            <v>200</v>
          </cell>
          <cell r="E556">
            <v>0</v>
          </cell>
          <cell r="F556">
            <v>0</v>
          </cell>
          <cell r="G556">
            <v>0</v>
          </cell>
          <cell r="H556">
            <v>0</v>
          </cell>
          <cell r="I556">
            <v>200</v>
          </cell>
          <cell r="J556">
            <v>0</v>
          </cell>
          <cell r="K556">
            <v>0</v>
          </cell>
          <cell r="L556">
            <v>0</v>
          </cell>
          <cell r="M556">
            <v>0</v>
          </cell>
          <cell r="N556">
            <v>0</v>
          </cell>
        </row>
        <row r="557">
          <cell r="A557" t="str">
            <v>5100</v>
          </cell>
          <cell r="B557" t="str">
            <v>011405700</v>
          </cell>
          <cell r="C557">
            <v>0</v>
          </cell>
          <cell r="D557">
            <v>1000</v>
          </cell>
          <cell r="E557">
            <v>1000</v>
          </cell>
          <cell r="F557">
            <v>0</v>
          </cell>
          <cell r="G557">
            <v>0</v>
          </cell>
          <cell r="H557">
            <v>0</v>
          </cell>
          <cell r="I557">
            <v>0</v>
          </cell>
          <cell r="J557">
            <v>0</v>
          </cell>
          <cell r="K557">
            <v>1000</v>
          </cell>
          <cell r="L557">
            <v>0</v>
          </cell>
          <cell r="M557">
            <v>0</v>
          </cell>
          <cell r="N557">
            <v>1000</v>
          </cell>
        </row>
        <row r="558">
          <cell r="A558" t="str">
            <v>5100</v>
          </cell>
          <cell r="B558" t="str">
            <v>012200821</v>
          </cell>
          <cell r="C558">
            <v>0</v>
          </cell>
          <cell r="D558">
            <v>1500</v>
          </cell>
          <cell r="E558">
            <v>0</v>
          </cell>
          <cell r="F558">
            <v>0</v>
          </cell>
          <cell r="G558">
            <v>0</v>
          </cell>
          <cell r="H558">
            <v>0</v>
          </cell>
          <cell r="I558">
            <v>1500</v>
          </cell>
          <cell r="J558">
            <v>0</v>
          </cell>
          <cell r="K558">
            <v>0</v>
          </cell>
          <cell r="L558">
            <v>0</v>
          </cell>
          <cell r="M558">
            <v>0</v>
          </cell>
          <cell r="N558">
            <v>0</v>
          </cell>
        </row>
        <row r="559">
          <cell r="A559" t="str">
            <v>5100</v>
          </cell>
          <cell r="B559" t="str">
            <v>012200902</v>
          </cell>
          <cell r="C559">
            <v>0</v>
          </cell>
          <cell r="D559">
            <v>2000</v>
          </cell>
          <cell r="E559">
            <v>0</v>
          </cell>
          <cell r="F559">
            <v>0</v>
          </cell>
          <cell r="G559">
            <v>0</v>
          </cell>
          <cell r="H559">
            <v>0</v>
          </cell>
          <cell r="I559">
            <v>0</v>
          </cell>
          <cell r="J559">
            <v>0</v>
          </cell>
          <cell r="K559">
            <v>2000</v>
          </cell>
          <cell r="L559">
            <v>0</v>
          </cell>
          <cell r="M559">
            <v>0</v>
          </cell>
          <cell r="N559">
            <v>0</v>
          </cell>
        </row>
        <row r="560">
          <cell r="A560" t="str">
            <v>5100</v>
          </cell>
          <cell r="B560" t="str">
            <v>012201050</v>
          </cell>
          <cell r="C560">
            <v>0</v>
          </cell>
          <cell r="D560">
            <v>3600</v>
          </cell>
          <cell r="E560">
            <v>0</v>
          </cell>
          <cell r="F560">
            <v>0</v>
          </cell>
          <cell r="G560">
            <v>0</v>
          </cell>
          <cell r="H560">
            <v>0</v>
          </cell>
          <cell r="I560">
            <v>0</v>
          </cell>
          <cell r="J560">
            <v>0</v>
          </cell>
          <cell r="K560">
            <v>3600</v>
          </cell>
          <cell r="L560">
            <v>0</v>
          </cell>
          <cell r="M560">
            <v>0</v>
          </cell>
          <cell r="N560">
            <v>0</v>
          </cell>
        </row>
        <row r="561">
          <cell r="A561" t="str">
            <v>5100</v>
          </cell>
          <cell r="B561" t="str">
            <v>012201062</v>
          </cell>
          <cell r="C561">
            <v>0</v>
          </cell>
          <cell r="D561">
            <v>3600</v>
          </cell>
          <cell r="E561">
            <v>0</v>
          </cell>
          <cell r="F561">
            <v>0</v>
          </cell>
          <cell r="G561">
            <v>0</v>
          </cell>
          <cell r="H561">
            <v>0</v>
          </cell>
          <cell r="I561">
            <v>0</v>
          </cell>
          <cell r="J561">
            <v>0</v>
          </cell>
          <cell r="K561">
            <v>3600</v>
          </cell>
          <cell r="L561">
            <v>0</v>
          </cell>
          <cell r="M561">
            <v>0</v>
          </cell>
          <cell r="N561">
            <v>0</v>
          </cell>
        </row>
        <row r="562">
          <cell r="A562" t="str">
            <v>5100</v>
          </cell>
          <cell r="B562" t="str">
            <v>012201081</v>
          </cell>
          <cell r="C562">
            <v>0</v>
          </cell>
          <cell r="D562">
            <v>1200</v>
          </cell>
          <cell r="E562">
            <v>0</v>
          </cell>
          <cell r="F562">
            <v>0</v>
          </cell>
          <cell r="G562">
            <v>0</v>
          </cell>
          <cell r="H562">
            <v>0</v>
          </cell>
          <cell r="I562">
            <v>0</v>
          </cell>
          <cell r="J562">
            <v>0</v>
          </cell>
          <cell r="K562">
            <v>1200</v>
          </cell>
          <cell r="L562">
            <v>0</v>
          </cell>
          <cell r="M562">
            <v>0</v>
          </cell>
          <cell r="N562">
            <v>0</v>
          </cell>
        </row>
        <row r="563">
          <cell r="A563" t="str">
            <v>5100</v>
          </cell>
          <cell r="B563" t="str">
            <v>012201251</v>
          </cell>
          <cell r="C563">
            <v>0</v>
          </cell>
          <cell r="D563">
            <v>4800</v>
          </cell>
          <cell r="E563">
            <v>0</v>
          </cell>
          <cell r="F563">
            <v>0</v>
          </cell>
          <cell r="G563">
            <v>0</v>
          </cell>
          <cell r="H563">
            <v>0</v>
          </cell>
          <cell r="I563">
            <v>2400</v>
          </cell>
          <cell r="J563">
            <v>0</v>
          </cell>
          <cell r="K563">
            <v>2400</v>
          </cell>
          <cell r="L563">
            <v>0</v>
          </cell>
          <cell r="M563">
            <v>0</v>
          </cell>
          <cell r="N563">
            <v>0</v>
          </cell>
        </row>
        <row r="564">
          <cell r="A564" t="str">
            <v>5100</v>
          </cell>
          <cell r="B564" t="str">
            <v>012201370</v>
          </cell>
          <cell r="C564">
            <v>0</v>
          </cell>
          <cell r="D564">
            <v>2000</v>
          </cell>
          <cell r="E564">
            <v>0</v>
          </cell>
          <cell r="F564">
            <v>0</v>
          </cell>
          <cell r="G564">
            <v>0</v>
          </cell>
          <cell r="H564">
            <v>0</v>
          </cell>
          <cell r="I564">
            <v>2000</v>
          </cell>
          <cell r="J564">
            <v>0</v>
          </cell>
          <cell r="K564">
            <v>0</v>
          </cell>
          <cell r="L564">
            <v>0</v>
          </cell>
          <cell r="M564">
            <v>0</v>
          </cell>
          <cell r="N564">
            <v>0</v>
          </cell>
        </row>
        <row r="565">
          <cell r="A565" t="str">
            <v>5100</v>
          </cell>
          <cell r="B565" t="str">
            <v>012201461</v>
          </cell>
          <cell r="C565">
            <v>0</v>
          </cell>
          <cell r="D565">
            <v>1200</v>
          </cell>
          <cell r="E565">
            <v>0</v>
          </cell>
          <cell r="F565">
            <v>0</v>
          </cell>
          <cell r="G565">
            <v>0</v>
          </cell>
          <cell r="H565">
            <v>0</v>
          </cell>
          <cell r="I565">
            <v>1200</v>
          </cell>
          <cell r="J565">
            <v>0</v>
          </cell>
          <cell r="K565">
            <v>0</v>
          </cell>
          <cell r="L565">
            <v>0</v>
          </cell>
          <cell r="M565">
            <v>0</v>
          </cell>
          <cell r="N565">
            <v>0</v>
          </cell>
        </row>
        <row r="566">
          <cell r="A566" t="str">
            <v>5100</v>
          </cell>
          <cell r="B566" t="str">
            <v>012201551</v>
          </cell>
          <cell r="C566">
            <v>0</v>
          </cell>
          <cell r="D566">
            <v>300</v>
          </cell>
          <cell r="E566">
            <v>0</v>
          </cell>
          <cell r="F566">
            <v>0</v>
          </cell>
          <cell r="G566">
            <v>0</v>
          </cell>
          <cell r="H566">
            <v>0</v>
          </cell>
          <cell r="I566">
            <v>300</v>
          </cell>
          <cell r="J566">
            <v>0</v>
          </cell>
          <cell r="K566">
            <v>0</v>
          </cell>
          <cell r="L566">
            <v>0</v>
          </cell>
          <cell r="M566">
            <v>0</v>
          </cell>
          <cell r="N566">
            <v>0</v>
          </cell>
        </row>
        <row r="567">
          <cell r="A567" t="str">
            <v>5100</v>
          </cell>
          <cell r="B567" t="str">
            <v>012201680</v>
          </cell>
          <cell r="C567">
            <v>0</v>
          </cell>
          <cell r="D567">
            <v>2000</v>
          </cell>
          <cell r="E567">
            <v>0</v>
          </cell>
          <cell r="F567">
            <v>0</v>
          </cell>
          <cell r="G567">
            <v>0</v>
          </cell>
          <cell r="H567">
            <v>0</v>
          </cell>
          <cell r="I567">
            <v>0</v>
          </cell>
          <cell r="J567">
            <v>2000</v>
          </cell>
          <cell r="K567">
            <v>0</v>
          </cell>
          <cell r="L567">
            <v>0</v>
          </cell>
          <cell r="M567">
            <v>0</v>
          </cell>
          <cell r="N567">
            <v>0</v>
          </cell>
        </row>
        <row r="568">
          <cell r="A568" t="str">
            <v>5100</v>
          </cell>
          <cell r="B568" t="str">
            <v>012201690</v>
          </cell>
          <cell r="C568">
            <v>0</v>
          </cell>
          <cell r="D568">
            <v>2000</v>
          </cell>
          <cell r="E568">
            <v>0</v>
          </cell>
          <cell r="F568">
            <v>0</v>
          </cell>
          <cell r="G568">
            <v>0</v>
          </cell>
          <cell r="H568">
            <v>0</v>
          </cell>
          <cell r="I568">
            <v>2000</v>
          </cell>
          <cell r="J568">
            <v>0</v>
          </cell>
          <cell r="K568">
            <v>0</v>
          </cell>
          <cell r="L568">
            <v>0</v>
          </cell>
          <cell r="M568">
            <v>0</v>
          </cell>
          <cell r="N568">
            <v>0</v>
          </cell>
        </row>
        <row r="569">
          <cell r="A569" t="str">
            <v>5100</v>
          </cell>
          <cell r="B569" t="str">
            <v>012201731</v>
          </cell>
          <cell r="C569">
            <v>0</v>
          </cell>
          <cell r="D569">
            <v>2400</v>
          </cell>
          <cell r="E569">
            <v>2400</v>
          </cell>
          <cell r="F569">
            <v>0</v>
          </cell>
          <cell r="G569">
            <v>0</v>
          </cell>
          <cell r="H569">
            <v>0</v>
          </cell>
          <cell r="I569">
            <v>0</v>
          </cell>
          <cell r="J569">
            <v>2400</v>
          </cell>
          <cell r="K569">
            <v>0</v>
          </cell>
          <cell r="L569">
            <v>0</v>
          </cell>
          <cell r="M569">
            <v>2400</v>
          </cell>
          <cell r="N569">
            <v>0</v>
          </cell>
        </row>
        <row r="570">
          <cell r="A570" t="str">
            <v>5100</v>
          </cell>
          <cell r="B570" t="str">
            <v>012201750</v>
          </cell>
          <cell r="C570">
            <v>0</v>
          </cell>
          <cell r="D570">
            <v>600</v>
          </cell>
          <cell r="E570">
            <v>0</v>
          </cell>
          <cell r="F570">
            <v>0</v>
          </cell>
          <cell r="G570">
            <v>0</v>
          </cell>
          <cell r="H570">
            <v>0</v>
          </cell>
          <cell r="I570">
            <v>600</v>
          </cell>
          <cell r="J570">
            <v>0</v>
          </cell>
          <cell r="K570">
            <v>0</v>
          </cell>
          <cell r="L570">
            <v>0</v>
          </cell>
          <cell r="M570">
            <v>0</v>
          </cell>
          <cell r="N570">
            <v>0</v>
          </cell>
        </row>
        <row r="571">
          <cell r="A571" t="str">
            <v>5100</v>
          </cell>
          <cell r="B571" t="str">
            <v>012601060</v>
          </cell>
          <cell r="C571">
            <v>0</v>
          </cell>
          <cell r="D571">
            <v>300</v>
          </cell>
          <cell r="E571">
            <v>0</v>
          </cell>
          <cell r="F571">
            <v>0</v>
          </cell>
          <cell r="G571">
            <v>0</v>
          </cell>
          <cell r="H571">
            <v>0</v>
          </cell>
          <cell r="I571">
            <v>300</v>
          </cell>
          <cell r="J571">
            <v>0</v>
          </cell>
          <cell r="K571">
            <v>0</v>
          </cell>
          <cell r="L571">
            <v>0</v>
          </cell>
          <cell r="M571">
            <v>0</v>
          </cell>
          <cell r="N571">
            <v>0</v>
          </cell>
        </row>
        <row r="572">
          <cell r="A572" t="str">
            <v>5100</v>
          </cell>
          <cell r="B572" t="str">
            <v>012700153</v>
          </cell>
          <cell r="C572">
            <v>0</v>
          </cell>
          <cell r="D572">
            <v>400</v>
          </cell>
          <cell r="E572">
            <v>0</v>
          </cell>
          <cell r="F572">
            <v>0</v>
          </cell>
          <cell r="G572">
            <v>0</v>
          </cell>
          <cell r="H572">
            <v>0</v>
          </cell>
          <cell r="I572">
            <v>400</v>
          </cell>
          <cell r="J572">
            <v>0</v>
          </cell>
          <cell r="K572">
            <v>0</v>
          </cell>
          <cell r="L572">
            <v>0</v>
          </cell>
          <cell r="M572">
            <v>0</v>
          </cell>
          <cell r="N572">
            <v>0</v>
          </cell>
        </row>
        <row r="573">
          <cell r="A573" t="str">
            <v>5100</v>
          </cell>
          <cell r="B573" t="str">
            <v>012700371</v>
          </cell>
          <cell r="C573">
            <v>0</v>
          </cell>
          <cell r="D573">
            <v>4000</v>
          </cell>
          <cell r="E573">
            <v>0</v>
          </cell>
          <cell r="F573">
            <v>0</v>
          </cell>
          <cell r="G573">
            <v>0</v>
          </cell>
          <cell r="H573">
            <v>0</v>
          </cell>
          <cell r="I573">
            <v>0</v>
          </cell>
          <cell r="J573">
            <v>4000</v>
          </cell>
          <cell r="K573">
            <v>0</v>
          </cell>
          <cell r="L573">
            <v>0</v>
          </cell>
          <cell r="M573">
            <v>0</v>
          </cell>
          <cell r="N573">
            <v>0</v>
          </cell>
        </row>
        <row r="574">
          <cell r="A574" t="str">
            <v>5100</v>
          </cell>
          <cell r="B574" t="str">
            <v>012700550</v>
          </cell>
          <cell r="C574">
            <v>0</v>
          </cell>
          <cell r="D574">
            <v>300</v>
          </cell>
          <cell r="E574">
            <v>0</v>
          </cell>
          <cell r="F574">
            <v>0</v>
          </cell>
          <cell r="G574">
            <v>0</v>
          </cell>
          <cell r="H574">
            <v>0</v>
          </cell>
          <cell r="I574">
            <v>300</v>
          </cell>
          <cell r="J574">
            <v>0</v>
          </cell>
          <cell r="K574">
            <v>0</v>
          </cell>
          <cell r="L574">
            <v>0</v>
          </cell>
          <cell r="M574">
            <v>0</v>
          </cell>
          <cell r="N574">
            <v>0</v>
          </cell>
        </row>
        <row r="575">
          <cell r="A575" t="str">
            <v>5100</v>
          </cell>
          <cell r="B575" t="str">
            <v>012700730</v>
          </cell>
          <cell r="C575">
            <v>0</v>
          </cell>
          <cell r="D575">
            <v>2100</v>
          </cell>
          <cell r="E575">
            <v>0</v>
          </cell>
          <cell r="F575">
            <v>0</v>
          </cell>
          <cell r="G575">
            <v>0</v>
          </cell>
          <cell r="H575">
            <v>0</v>
          </cell>
          <cell r="I575">
            <v>2100</v>
          </cell>
          <cell r="J575">
            <v>0</v>
          </cell>
          <cell r="K575">
            <v>0</v>
          </cell>
          <cell r="L575">
            <v>0</v>
          </cell>
          <cell r="M575">
            <v>0</v>
          </cell>
          <cell r="N575">
            <v>0</v>
          </cell>
        </row>
        <row r="576">
          <cell r="A576" t="str">
            <v>5100</v>
          </cell>
          <cell r="B576" t="str">
            <v>012900330</v>
          </cell>
          <cell r="C576">
            <v>0</v>
          </cell>
          <cell r="D576">
            <v>1700</v>
          </cell>
          <cell r="E576">
            <v>0</v>
          </cell>
          <cell r="F576">
            <v>0</v>
          </cell>
          <cell r="G576">
            <v>0</v>
          </cell>
          <cell r="H576">
            <v>0</v>
          </cell>
          <cell r="I576">
            <v>1700</v>
          </cell>
          <cell r="J576">
            <v>0</v>
          </cell>
          <cell r="K576">
            <v>0</v>
          </cell>
          <cell r="L576">
            <v>0</v>
          </cell>
          <cell r="M576">
            <v>0</v>
          </cell>
          <cell r="N576">
            <v>0</v>
          </cell>
        </row>
        <row r="577">
          <cell r="A577" t="str">
            <v>5100</v>
          </cell>
          <cell r="B577" t="str">
            <v>012900351</v>
          </cell>
          <cell r="C577">
            <v>0</v>
          </cell>
          <cell r="D577">
            <v>300</v>
          </cell>
          <cell r="E577">
            <v>0</v>
          </cell>
          <cell r="F577">
            <v>0</v>
          </cell>
          <cell r="G577">
            <v>0</v>
          </cell>
          <cell r="H577">
            <v>0</v>
          </cell>
          <cell r="I577">
            <v>300</v>
          </cell>
          <cell r="J577">
            <v>0</v>
          </cell>
          <cell r="K577">
            <v>0</v>
          </cell>
          <cell r="L577">
            <v>0</v>
          </cell>
          <cell r="M577">
            <v>0</v>
          </cell>
          <cell r="N577">
            <v>0</v>
          </cell>
        </row>
        <row r="578">
          <cell r="A578" t="str">
            <v>5100</v>
          </cell>
          <cell r="B578" t="str">
            <v>012900361</v>
          </cell>
          <cell r="C578">
            <v>0</v>
          </cell>
          <cell r="D578">
            <v>600</v>
          </cell>
          <cell r="E578">
            <v>0</v>
          </cell>
          <cell r="F578">
            <v>0</v>
          </cell>
          <cell r="G578">
            <v>0</v>
          </cell>
          <cell r="H578">
            <v>0</v>
          </cell>
          <cell r="I578">
            <v>600</v>
          </cell>
          <cell r="J578">
            <v>0</v>
          </cell>
          <cell r="K578">
            <v>0</v>
          </cell>
          <cell r="L578">
            <v>0</v>
          </cell>
          <cell r="M578">
            <v>0</v>
          </cell>
          <cell r="N578">
            <v>0</v>
          </cell>
        </row>
        <row r="579">
          <cell r="A579" t="str">
            <v>5100</v>
          </cell>
          <cell r="B579" t="str">
            <v>012900371</v>
          </cell>
          <cell r="C579">
            <v>0</v>
          </cell>
          <cell r="D579">
            <v>500</v>
          </cell>
          <cell r="E579">
            <v>0</v>
          </cell>
          <cell r="F579">
            <v>0</v>
          </cell>
          <cell r="G579">
            <v>0</v>
          </cell>
          <cell r="H579">
            <v>0</v>
          </cell>
          <cell r="I579">
            <v>500</v>
          </cell>
          <cell r="J579">
            <v>0</v>
          </cell>
          <cell r="K579">
            <v>0</v>
          </cell>
          <cell r="L579">
            <v>0</v>
          </cell>
          <cell r="M579">
            <v>0</v>
          </cell>
          <cell r="N579">
            <v>0</v>
          </cell>
        </row>
        <row r="580">
          <cell r="A580" t="str">
            <v>5100</v>
          </cell>
          <cell r="B580" t="str">
            <v>012900380</v>
          </cell>
          <cell r="C580">
            <v>0</v>
          </cell>
          <cell r="D580">
            <v>500</v>
          </cell>
          <cell r="E580">
            <v>0</v>
          </cell>
          <cell r="F580">
            <v>0</v>
          </cell>
          <cell r="G580">
            <v>0</v>
          </cell>
          <cell r="H580">
            <v>0</v>
          </cell>
          <cell r="I580">
            <v>0</v>
          </cell>
          <cell r="J580">
            <v>500</v>
          </cell>
          <cell r="K580">
            <v>0</v>
          </cell>
          <cell r="L580">
            <v>0</v>
          </cell>
          <cell r="M580">
            <v>0</v>
          </cell>
          <cell r="N580">
            <v>0</v>
          </cell>
        </row>
        <row r="581">
          <cell r="A581" t="str">
            <v>5100</v>
          </cell>
          <cell r="B581" t="str">
            <v>012900410</v>
          </cell>
          <cell r="C581">
            <v>0</v>
          </cell>
          <cell r="D581">
            <v>300</v>
          </cell>
          <cell r="E581">
            <v>0</v>
          </cell>
          <cell r="F581">
            <v>0</v>
          </cell>
          <cell r="G581">
            <v>0</v>
          </cell>
          <cell r="H581">
            <v>0</v>
          </cell>
          <cell r="I581">
            <v>300</v>
          </cell>
          <cell r="J581">
            <v>0</v>
          </cell>
          <cell r="K581">
            <v>0</v>
          </cell>
          <cell r="L581">
            <v>0</v>
          </cell>
          <cell r="M581">
            <v>0</v>
          </cell>
          <cell r="N581">
            <v>0</v>
          </cell>
        </row>
        <row r="582">
          <cell r="A582" t="str">
            <v>5100</v>
          </cell>
          <cell r="B582" t="str">
            <v>012900420</v>
          </cell>
          <cell r="C582">
            <v>0</v>
          </cell>
          <cell r="D582">
            <v>300</v>
          </cell>
          <cell r="E582">
            <v>0</v>
          </cell>
          <cell r="F582">
            <v>0</v>
          </cell>
          <cell r="G582">
            <v>0</v>
          </cell>
          <cell r="H582">
            <v>0</v>
          </cell>
          <cell r="I582">
            <v>300</v>
          </cell>
          <cell r="J582">
            <v>0</v>
          </cell>
          <cell r="K582">
            <v>0</v>
          </cell>
          <cell r="L582">
            <v>0</v>
          </cell>
          <cell r="M582">
            <v>0</v>
          </cell>
          <cell r="N582">
            <v>0</v>
          </cell>
        </row>
        <row r="583">
          <cell r="A583" t="str">
            <v>5100</v>
          </cell>
          <cell r="B583" t="str">
            <v>012900550</v>
          </cell>
          <cell r="C583">
            <v>0</v>
          </cell>
          <cell r="D583">
            <v>300</v>
          </cell>
          <cell r="E583">
            <v>0</v>
          </cell>
          <cell r="F583">
            <v>0</v>
          </cell>
          <cell r="G583">
            <v>0</v>
          </cell>
          <cell r="H583">
            <v>0</v>
          </cell>
          <cell r="I583">
            <v>300</v>
          </cell>
          <cell r="J583">
            <v>0</v>
          </cell>
          <cell r="K583">
            <v>0</v>
          </cell>
          <cell r="L583">
            <v>0</v>
          </cell>
          <cell r="M583">
            <v>0</v>
          </cell>
          <cell r="N583">
            <v>0</v>
          </cell>
        </row>
        <row r="584">
          <cell r="A584" t="str">
            <v>5100</v>
          </cell>
          <cell r="B584" t="str">
            <v>013701051</v>
          </cell>
          <cell r="C584">
            <v>0</v>
          </cell>
          <cell r="D584">
            <v>300</v>
          </cell>
          <cell r="E584">
            <v>0</v>
          </cell>
          <cell r="F584">
            <v>0</v>
          </cell>
          <cell r="G584">
            <v>0</v>
          </cell>
          <cell r="H584">
            <v>0</v>
          </cell>
          <cell r="I584">
            <v>300</v>
          </cell>
          <cell r="J584">
            <v>0</v>
          </cell>
          <cell r="K584">
            <v>0</v>
          </cell>
          <cell r="L584">
            <v>0</v>
          </cell>
          <cell r="M584">
            <v>0</v>
          </cell>
          <cell r="N584">
            <v>0</v>
          </cell>
        </row>
        <row r="585">
          <cell r="A585" t="str">
            <v>5100</v>
          </cell>
          <cell r="B585" t="str">
            <v>013701060</v>
          </cell>
          <cell r="C585">
            <v>0</v>
          </cell>
          <cell r="D585">
            <v>300</v>
          </cell>
          <cell r="E585">
            <v>0</v>
          </cell>
          <cell r="F585">
            <v>0</v>
          </cell>
          <cell r="G585">
            <v>0</v>
          </cell>
          <cell r="H585">
            <v>0</v>
          </cell>
          <cell r="I585">
            <v>300</v>
          </cell>
          <cell r="J585">
            <v>0</v>
          </cell>
          <cell r="K585">
            <v>0</v>
          </cell>
          <cell r="L585">
            <v>0</v>
          </cell>
          <cell r="M585">
            <v>0</v>
          </cell>
          <cell r="N585">
            <v>0</v>
          </cell>
        </row>
        <row r="586">
          <cell r="A586" t="str">
            <v>5100</v>
          </cell>
          <cell r="B586" t="str">
            <v>013701140</v>
          </cell>
          <cell r="C586">
            <v>0</v>
          </cell>
          <cell r="D586">
            <v>200</v>
          </cell>
          <cell r="E586">
            <v>0</v>
          </cell>
          <cell r="F586">
            <v>0</v>
          </cell>
          <cell r="G586">
            <v>0</v>
          </cell>
          <cell r="H586">
            <v>0</v>
          </cell>
          <cell r="I586">
            <v>200</v>
          </cell>
          <cell r="J586">
            <v>0</v>
          </cell>
          <cell r="K586">
            <v>0</v>
          </cell>
          <cell r="L586">
            <v>0</v>
          </cell>
          <cell r="M586">
            <v>0</v>
          </cell>
          <cell r="N586">
            <v>0</v>
          </cell>
        </row>
        <row r="587">
          <cell r="A587" t="str">
            <v>5100</v>
          </cell>
          <cell r="B587" t="str">
            <v>013701150</v>
          </cell>
          <cell r="C587">
            <v>0</v>
          </cell>
          <cell r="D587">
            <v>500</v>
          </cell>
          <cell r="E587">
            <v>0</v>
          </cell>
          <cell r="F587">
            <v>0</v>
          </cell>
          <cell r="G587">
            <v>0</v>
          </cell>
          <cell r="H587">
            <v>0</v>
          </cell>
          <cell r="I587">
            <v>500</v>
          </cell>
          <cell r="J587">
            <v>0</v>
          </cell>
          <cell r="K587">
            <v>0</v>
          </cell>
          <cell r="L587">
            <v>0</v>
          </cell>
          <cell r="M587">
            <v>0</v>
          </cell>
          <cell r="N587">
            <v>0</v>
          </cell>
        </row>
        <row r="588">
          <cell r="A588" t="str">
            <v>5100</v>
          </cell>
          <cell r="B588" t="str">
            <v>013701160</v>
          </cell>
          <cell r="C588">
            <v>0</v>
          </cell>
          <cell r="D588">
            <v>400</v>
          </cell>
          <cell r="E588">
            <v>0</v>
          </cell>
          <cell r="F588">
            <v>0</v>
          </cell>
          <cell r="G588">
            <v>0</v>
          </cell>
          <cell r="H588">
            <v>0</v>
          </cell>
          <cell r="I588">
            <v>400</v>
          </cell>
          <cell r="J588">
            <v>0</v>
          </cell>
          <cell r="K588">
            <v>0</v>
          </cell>
          <cell r="L588">
            <v>0</v>
          </cell>
          <cell r="M588">
            <v>0</v>
          </cell>
          <cell r="N588">
            <v>0</v>
          </cell>
        </row>
        <row r="589">
          <cell r="A589" t="str">
            <v>5100</v>
          </cell>
          <cell r="B589" t="str">
            <v>013701170</v>
          </cell>
          <cell r="C589">
            <v>0</v>
          </cell>
          <cell r="D589">
            <v>500</v>
          </cell>
          <cell r="E589">
            <v>0</v>
          </cell>
          <cell r="F589">
            <v>0</v>
          </cell>
          <cell r="G589">
            <v>0</v>
          </cell>
          <cell r="H589">
            <v>0</v>
          </cell>
          <cell r="I589">
            <v>500</v>
          </cell>
          <cell r="J589">
            <v>0</v>
          </cell>
          <cell r="K589">
            <v>0</v>
          </cell>
          <cell r="L589">
            <v>0</v>
          </cell>
          <cell r="M589">
            <v>0</v>
          </cell>
          <cell r="N589">
            <v>0</v>
          </cell>
        </row>
        <row r="590">
          <cell r="A590" t="str">
            <v>5100</v>
          </cell>
          <cell r="B590" t="str">
            <v>013701180</v>
          </cell>
          <cell r="C590">
            <v>0</v>
          </cell>
          <cell r="D590">
            <v>500</v>
          </cell>
          <cell r="E590">
            <v>0</v>
          </cell>
          <cell r="F590">
            <v>0</v>
          </cell>
          <cell r="G590">
            <v>0</v>
          </cell>
          <cell r="H590">
            <v>0</v>
          </cell>
          <cell r="I590">
            <v>0</v>
          </cell>
          <cell r="J590">
            <v>500</v>
          </cell>
          <cell r="K590">
            <v>0</v>
          </cell>
          <cell r="L590">
            <v>0</v>
          </cell>
          <cell r="M590">
            <v>0</v>
          </cell>
          <cell r="N590">
            <v>0</v>
          </cell>
        </row>
        <row r="591">
          <cell r="A591" t="str">
            <v>5100</v>
          </cell>
          <cell r="B591" t="str">
            <v>013701190</v>
          </cell>
          <cell r="C591">
            <v>0</v>
          </cell>
          <cell r="D591">
            <v>200</v>
          </cell>
          <cell r="E591">
            <v>0</v>
          </cell>
          <cell r="F591">
            <v>0</v>
          </cell>
          <cell r="G591">
            <v>0</v>
          </cell>
          <cell r="H591">
            <v>0</v>
          </cell>
          <cell r="I591">
            <v>200</v>
          </cell>
          <cell r="J591">
            <v>0</v>
          </cell>
          <cell r="K591">
            <v>0</v>
          </cell>
          <cell r="L591">
            <v>0</v>
          </cell>
          <cell r="M591">
            <v>0</v>
          </cell>
          <cell r="N591">
            <v>0</v>
          </cell>
        </row>
        <row r="592">
          <cell r="A592" t="str">
            <v>5100</v>
          </cell>
          <cell r="B592" t="str">
            <v>013701210</v>
          </cell>
          <cell r="C592">
            <v>0</v>
          </cell>
          <cell r="D592">
            <v>600</v>
          </cell>
          <cell r="E592">
            <v>0</v>
          </cell>
          <cell r="F592">
            <v>0</v>
          </cell>
          <cell r="G592">
            <v>0</v>
          </cell>
          <cell r="H592">
            <v>0</v>
          </cell>
          <cell r="I592">
            <v>0</v>
          </cell>
          <cell r="J592">
            <v>600</v>
          </cell>
          <cell r="K592">
            <v>0</v>
          </cell>
          <cell r="L592">
            <v>0</v>
          </cell>
          <cell r="M592">
            <v>0</v>
          </cell>
          <cell r="N592">
            <v>0</v>
          </cell>
        </row>
        <row r="593">
          <cell r="A593" t="str">
            <v>5100</v>
          </cell>
          <cell r="B593" t="str">
            <v>013701220</v>
          </cell>
          <cell r="C593">
            <v>0</v>
          </cell>
          <cell r="D593">
            <v>900</v>
          </cell>
          <cell r="E593">
            <v>0</v>
          </cell>
          <cell r="F593">
            <v>0</v>
          </cell>
          <cell r="G593">
            <v>0</v>
          </cell>
          <cell r="H593">
            <v>0</v>
          </cell>
          <cell r="I593">
            <v>0</v>
          </cell>
          <cell r="J593">
            <v>900</v>
          </cell>
          <cell r="K593">
            <v>0</v>
          </cell>
          <cell r="L593">
            <v>0</v>
          </cell>
          <cell r="M593">
            <v>0</v>
          </cell>
          <cell r="N593">
            <v>0</v>
          </cell>
        </row>
        <row r="594">
          <cell r="A594" t="str">
            <v>5100</v>
          </cell>
          <cell r="B594" t="str">
            <v>013701231</v>
          </cell>
          <cell r="C594">
            <v>0</v>
          </cell>
          <cell r="D594">
            <v>0</v>
          </cell>
          <cell r="E594">
            <v>0</v>
          </cell>
          <cell r="F594">
            <v>0</v>
          </cell>
          <cell r="G594">
            <v>0</v>
          </cell>
          <cell r="H594">
            <v>0</v>
          </cell>
          <cell r="I594">
            <v>0</v>
          </cell>
          <cell r="J594">
            <v>0</v>
          </cell>
          <cell r="K594">
            <v>0</v>
          </cell>
          <cell r="L594">
            <v>0</v>
          </cell>
          <cell r="M594">
            <v>0</v>
          </cell>
          <cell r="N594">
            <v>0</v>
          </cell>
        </row>
        <row r="595">
          <cell r="A595" t="str">
            <v>5100</v>
          </cell>
          <cell r="B595" t="str">
            <v>013701371</v>
          </cell>
          <cell r="C595">
            <v>0</v>
          </cell>
          <cell r="D595">
            <v>300</v>
          </cell>
          <cell r="E595">
            <v>0</v>
          </cell>
          <cell r="F595">
            <v>0</v>
          </cell>
          <cell r="G595">
            <v>0</v>
          </cell>
          <cell r="H595">
            <v>0</v>
          </cell>
          <cell r="I595">
            <v>300</v>
          </cell>
          <cell r="J595">
            <v>0</v>
          </cell>
          <cell r="K595">
            <v>0</v>
          </cell>
          <cell r="L595">
            <v>0</v>
          </cell>
          <cell r="M595">
            <v>0</v>
          </cell>
          <cell r="N595">
            <v>0</v>
          </cell>
        </row>
        <row r="596">
          <cell r="A596" t="str">
            <v>5100</v>
          </cell>
          <cell r="B596" t="str">
            <v>013701381</v>
          </cell>
          <cell r="C596">
            <v>0</v>
          </cell>
          <cell r="D596">
            <v>300</v>
          </cell>
          <cell r="E596">
            <v>0</v>
          </cell>
          <cell r="F596">
            <v>0</v>
          </cell>
          <cell r="G596">
            <v>0</v>
          </cell>
          <cell r="H596">
            <v>0</v>
          </cell>
          <cell r="I596">
            <v>300</v>
          </cell>
          <cell r="J596">
            <v>0</v>
          </cell>
          <cell r="K596">
            <v>0</v>
          </cell>
          <cell r="L596">
            <v>0</v>
          </cell>
          <cell r="M596">
            <v>0</v>
          </cell>
          <cell r="N596">
            <v>0</v>
          </cell>
        </row>
        <row r="597">
          <cell r="A597" t="str">
            <v>5100</v>
          </cell>
          <cell r="B597" t="str">
            <v>013701451</v>
          </cell>
          <cell r="C597">
            <v>0</v>
          </cell>
          <cell r="D597">
            <v>400</v>
          </cell>
          <cell r="E597">
            <v>0</v>
          </cell>
          <cell r="F597">
            <v>0</v>
          </cell>
          <cell r="G597">
            <v>0</v>
          </cell>
          <cell r="H597">
            <v>0</v>
          </cell>
          <cell r="I597">
            <v>400</v>
          </cell>
          <cell r="J597">
            <v>0</v>
          </cell>
          <cell r="K597">
            <v>0</v>
          </cell>
          <cell r="L597">
            <v>0</v>
          </cell>
          <cell r="M597">
            <v>0</v>
          </cell>
          <cell r="N597">
            <v>0</v>
          </cell>
        </row>
        <row r="598">
          <cell r="A598" t="str">
            <v>5100</v>
          </cell>
          <cell r="B598" t="str">
            <v>013701620</v>
          </cell>
          <cell r="C598">
            <v>0</v>
          </cell>
          <cell r="D598">
            <v>200</v>
          </cell>
          <cell r="E598">
            <v>0</v>
          </cell>
          <cell r="F598">
            <v>0</v>
          </cell>
          <cell r="G598">
            <v>0</v>
          </cell>
          <cell r="H598">
            <v>0</v>
          </cell>
          <cell r="I598">
            <v>200</v>
          </cell>
          <cell r="J598">
            <v>0</v>
          </cell>
          <cell r="K598">
            <v>0</v>
          </cell>
          <cell r="L598">
            <v>0</v>
          </cell>
          <cell r="M598">
            <v>0</v>
          </cell>
          <cell r="N598">
            <v>0</v>
          </cell>
        </row>
        <row r="599">
          <cell r="A599" t="str">
            <v>5100</v>
          </cell>
          <cell r="B599" t="str">
            <v>013701971</v>
          </cell>
          <cell r="C599">
            <v>0</v>
          </cell>
          <cell r="D599">
            <v>400</v>
          </cell>
          <cell r="E599">
            <v>0</v>
          </cell>
          <cell r="F599">
            <v>0</v>
          </cell>
          <cell r="G599">
            <v>0</v>
          </cell>
          <cell r="H599">
            <v>0</v>
          </cell>
          <cell r="I599">
            <v>400</v>
          </cell>
          <cell r="J599">
            <v>0</v>
          </cell>
          <cell r="K599">
            <v>0</v>
          </cell>
          <cell r="L599">
            <v>0</v>
          </cell>
          <cell r="M599">
            <v>0</v>
          </cell>
          <cell r="N599">
            <v>0</v>
          </cell>
        </row>
        <row r="600">
          <cell r="A600" t="str">
            <v>5100</v>
          </cell>
          <cell r="B600" t="str">
            <v>013701981</v>
          </cell>
          <cell r="C600">
            <v>0</v>
          </cell>
          <cell r="D600">
            <v>300</v>
          </cell>
          <cell r="E600">
            <v>0</v>
          </cell>
          <cell r="F600">
            <v>0</v>
          </cell>
          <cell r="G600">
            <v>0</v>
          </cell>
          <cell r="H600">
            <v>0</v>
          </cell>
          <cell r="I600">
            <v>300</v>
          </cell>
          <cell r="J600">
            <v>0</v>
          </cell>
          <cell r="K600">
            <v>0</v>
          </cell>
          <cell r="L600">
            <v>0</v>
          </cell>
          <cell r="M600">
            <v>0</v>
          </cell>
          <cell r="N600">
            <v>0</v>
          </cell>
        </row>
        <row r="601">
          <cell r="A601" t="str">
            <v>5100</v>
          </cell>
          <cell r="B601" t="str">
            <v>013803371</v>
          </cell>
          <cell r="C601">
            <v>0</v>
          </cell>
          <cell r="D601">
            <v>250</v>
          </cell>
          <cell r="E601">
            <v>0</v>
          </cell>
          <cell r="F601">
            <v>0</v>
          </cell>
          <cell r="G601">
            <v>0</v>
          </cell>
          <cell r="H601">
            <v>0</v>
          </cell>
          <cell r="I601">
            <v>250</v>
          </cell>
          <cell r="J601">
            <v>0</v>
          </cell>
          <cell r="K601">
            <v>0</v>
          </cell>
          <cell r="L601">
            <v>0</v>
          </cell>
          <cell r="M601">
            <v>0</v>
          </cell>
          <cell r="N601">
            <v>0</v>
          </cell>
        </row>
        <row r="602">
          <cell r="A602" t="str">
            <v>5100</v>
          </cell>
          <cell r="B602" t="str">
            <v>013803970</v>
          </cell>
          <cell r="C602">
            <v>0</v>
          </cell>
          <cell r="D602">
            <v>1000</v>
          </cell>
          <cell r="E602">
            <v>0</v>
          </cell>
          <cell r="F602">
            <v>0</v>
          </cell>
          <cell r="G602">
            <v>0</v>
          </cell>
          <cell r="H602">
            <v>0</v>
          </cell>
          <cell r="I602">
            <v>1000</v>
          </cell>
          <cell r="J602">
            <v>0</v>
          </cell>
          <cell r="K602">
            <v>0</v>
          </cell>
          <cell r="L602">
            <v>0</v>
          </cell>
          <cell r="M602">
            <v>0</v>
          </cell>
          <cell r="N602">
            <v>0</v>
          </cell>
        </row>
        <row r="603">
          <cell r="A603" t="str">
            <v>5100</v>
          </cell>
          <cell r="B603" t="str">
            <v>013803981</v>
          </cell>
          <cell r="C603">
            <v>0</v>
          </cell>
          <cell r="D603">
            <v>1000</v>
          </cell>
          <cell r="E603">
            <v>0</v>
          </cell>
          <cell r="F603">
            <v>0</v>
          </cell>
          <cell r="G603">
            <v>0</v>
          </cell>
          <cell r="H603">
            <v>0</v>
          </cell>
          <cell r="I603">
            <v>1000</v>
          </cell>
          <cell r="J603">
            <v>0</v>
          </cell>
          <cell r="K603">
            <v>0</v>
          </cell>
          <cell r="L603">
            <v>0</v>
          </cell>
          <cell r="M603">
            <v>0</v>
          </cell>
          <cell r="N603">
            <v>0</v>
          </cell>
        </row>
        <row r="604">
          <cell r="A604" t="str">
            <v>5100</v>
          </cell>
          <cell r="B604" t="str">
            <v>013804920</v>
          </cell>
          <cell r="C604">
            <v>0</v>
          </cell>
          <cell r="D604">
            <v>100</v>
          </cell>
          <cell r="E604">
            <v>0</v>
          </cell>
          <cell r="F604">
            <v>0</v>
          </cell>
          <cell r="G604">
            <v>0</v>
          </cell>
          <cell r="H604">
            <v>0</v>
          </cell>
          <cell r="I604">
            <v>100</v>
          </cell>
          <cell r="J604">
            <v>0</v>
          </cell>
          <cell r="K604">
            <v>0</v>
          </cell>
          <cell r="L604">
            <v>0</v>
          </cell>
          <cell r="M604">
            <v>0</v>
          </cell>
          <cell r="N604">
            <v>0</v>
          </cell>
        </row>
        <row r="605">
          <cell r="A605" t="str">
            <v>5100</v>
          </cell>
          <cell r="B605" t="str">
            <v>013805562</v>
          </cell>
          <cell r="C605">
            <v>0</v>
          </cell>
          <cell r="D605">
            <v>1000</v>
          </cell>
          <cell r="E605">
            <v>0</v>
          </cell>
          <cell r="F605">
            <v>0</v>
          </cell>
          <cell r="G605">
            <v>0</v>
          </cell>
          <cell r="H605">
            <v>0</v>
          </cell>
          <cell r="I605">
            <v>1000</v>
          </cell>
          <cell r="J605">
            <v>0</v>
          </cell>
          <cell r="K605">
            <v>0</v>
          </cell>
          <cell r="L605">
            <v>0</v>
          </cell>
          <cell r="M605">
            <v>0</v>
          </cell>
          <cell r="N605">
            <v>0</v>
          </cell>
        </row>
        <row r="606">
          <cell r="A606" t="str">
            <v>5100</v>
          </cell>
          <cell r="B606" t="str">
            <v>013806430</v>
          </cell>
          <cell r="C606">
            <v>0</v>
          </cell>
          <cell r="D606">
            <v>1000</v>
          </cell>
          <cell r="E606">
            <v>0</v>
          </cell>
          <cell r="F606">
            <v>0</v>
          </cell>
          <cell r="G606">
            <v>0</v>
          </cell>
          <cell r="H606">
            <v>0</v>
          </cell>
          <cell r="I606">
            <v>1000</v>
          </cell>
          <cell r="J606">
            <v>0</v>
          </cell>
          <cell r="K606">
            <v>0</v>
          </cell>
          <cell r="L606">
            <v>0</v>
          </cell>
          <cell r="M606">
            <v>0</v>
          </cell>
          <cell r="N606">
            <v>0</v>
          </cell>
        </row>
        <row r="607">
          <cell r="A607" t="str">
            <v>5100</v>
          </cell>
          <cell r="B607" t="str">
            <v>013807031</v>
          </cell>
          <cell r="C607">
            <v>0</v>
          </cell>
          <cell r="D607">
            <v>2000</v>
          </cell>
          <cell r="E607">
            <v>0</v>
          </cell>
          <cell r="F607">
            <v>0</v>
          </cell>
          <cell r="G607">
            <v>0</v>
          </cell>
          <cell r="H607">
            <v>0</v>
          </cell>
          <cell r="I607">
            <v>2000</v>
          </cell>
          <cell r="J607">
            <v>0</v>
          </cell>
          <cell r="K607">
            <v>0</v>
          </cell>
          <cell r="L607">
            <v>0</v>
          </cell>
          <cell r="M607">
            <v>0</v>
          </cell>
          <cell r="N607">
            <v>0</v>
          </cell>
        </row>
        <row r="608">
          <cell r="A608" t="str">
            <v>5100</v>
          </cell>
          <cell r="B608" t="str">
            <v>013808500</v>
          </cell>
          <cell r="C608">
            <v>0</v>
          </cell>
          <cell r="D608">
            <v>500</v>
          </cell>
          <cell r="E608">
            <v>0</v>
          </cell>
          <cell r="F608">
            <v>0</v>
          </cell>
          <cell r="G608">
            <v>0</v>
          </cell>
          <cell r="H608">
            <v>0</v>
          </cell>
          <cell r="I608">
            <v>500</v>
          </cell>
          <cell r="J608">
            <v>0</v>
          </cell>
          <cell r="K608">
            <v>0</v>
          </cell>
          <cell r="L608">
            <v>0</v>
          </cell>
          <cell r="M608">
            <v>0</v>
          </cell>
          <cell r="N608">
            <v>0</v>
          </cell>
        </row>
        <row r="609">
          <cell r="A609" t="str">
            <v>5100</v>
          </cell>
          <cell r="B609" t="str">
            <v>013808540</v>
          </cell>
          <cell r="C609">
            <v>0</v>
          </cell>
          <cell r="D609">
            <v>8400</v>
          </cell>
          <cell r="E609">
            <v>16800</v>
          </cell>
          <cell r="F609">
            <v>0</v>
          </cell>
          <cell r="G609">
            <v>0</v>
          </cell>
          <cell r="H609">
            <v>0</v>
          </cell>
          <cell r="I609">
            <v>8400</v>
          </cell>
          <cell r="J609">
            <v>0</v>
          </cell>
          <cell r="K609">
            <v>0</v>
          </cell>
          <cell r="L609">
            <v>8400</v>
          </cell>
          <cell r="M609">
            <v>8400</v>
          </cell>
          <cell r="N609">
            <v>0</v>
          </cell>
        </row>
        <row r="610">
          <cell r="A610" t="str">
            <v>5100</v>
          </cell>
          <cell r="B610" t="str">
            <v>013808590</v>
          </cell>
          <cell r="C610">
            <v>0</v>
          </cell>
          <cell r="D610">
            <v>2000</v>
          </cell>
          <cell r="E610">
            <v>0</v>
          </cell>
          <cell r="F610">
            <v>0</v>
          </cell>
          <cell r="G610">
            <v>0</v>
          </cell>
          <cell r="H610">
            <v>0</v>
          </cell>
          <cell r="I610">
            <v>0</v>
          </cell>
          <cell r="J610">
            <v>0</v>
          </cell>
          <cell r="K610">
            <v>2000</v>
          </cell>
          <cell r="L610">
            <v>0</v>
          </cell>
          <cell r="M610">
            <v>0</v>
          </cell>
          <cell r="N610">
            <v>0</v>
          </cell>
        </row>
        <row r="611">
          <cell r="A611" t="str">
            <v>5100</v>
          </cell>
          <cell r="B611" t="str">
            <v>014000811</v>
          </cell>
          <cell r="C611">
            <v>0</v>
          </cell>
          <cell r="D611">
            <v>50</v>
          </cell>
          <cell r="E611">
            <v>0</v>
          </cell>
          <cell r="F611">
            <v>0</v>
          </cell>
          <cell r="G611">
            <v>0</v>
          </cell>
          <cell r="H611">
            <v>0</v>
          </cell>
          <cell r="I611">
            <v>50</v>
          </cell>
          <cell r="J611">
            <v>0</v>
          </cell>
          <cell r="K611">
            <v>0</v>
          </cell>
          <cell r="L611">
            <v>0</v>
          </cell>
          <cell r="M611">
            <v>0</v>
          </cell>
          <cell r="N611">
            <v>0</v>
          </cell>
        </row>
        <row r="612">
          <cell r="A612" t="str">
            <v>5100</v>
          </cell>
          <cell r="B612" t="str">
            <v>014000910</v>
          </cell>
          <cell r="C612">
            <v>0</v>
          </cell>
          <cell r="D612">
            <v>400</v>
          </cell>
          <cell r="E612">
            <v>0</v>
          </cell>
          <cell r="F612">
            <v>0</v>
          </cell>
          <cell r="G612">
            <v>0</v>
          </cell>
          <cell r="H612">
            <v>0</v>
          </cell>
          <cell r="I612">
            <v>400</v>
          </cell>
          <cell r="J612">
            <v>0</v>
          </cell>
          <cell r="K612">
            <v>0</v>
          </cell>
          <cell r="L612">
            <v>0</v>
          </cell>
          <cell r="M612">
            <v>0</v>
          </cell>
          <cell r="N612">
            <v>0</v>
          </cell>
        </row>
        <row r="613">
          <cell r="A613" t="str">
            <v>5100</v>
          </cell>
          <cell r="B613" t="str">
            <v>014001022</v>
          </cell>
          <cell r="C613">
            <v>0</v>
          </cell>
          <cell r="D613">
            <v>600</v>
          </cell>
          <cell r="E613">
            <v>0</v>
          </cell>
          <cell r="F613">
            <v>0</v>
          </cell>
          <cell r="G613">
            <v>0</v>
          </cell>
          <cell r="H613">
            <v>0</v>
          </cell>
          <cell r="I613">
            <v>0</v>
          </cell>
          <cell r="J613">
            <v>600</v>
          </cell>
          <cell r="K613">
            <v>0</v>
          </cell>
          <cell r="L613">
            <v>0</v>
          </cell>
          <cell r="M613">
            <v>0</v>
          </cell>
          <cell r="N613">
            <v>0</v>
          </cell>
        </row>
        <row r="614">
          <cell r="A614" t="str">
            <v>5100</v>
          </cell>
          <cell r="B614" t="str">
            <v>014001032</v>
          </cell>
          <cell r="C614">
            <v>0</v>
          </cell>
          <cell r="D614">
            <v>700</v>
          </cell>
          <cell r="E614">
            <v>0</v>
          </cell>
          <cell r="F614">
            <v>0</v>
          </cell>
          <cell r="G614">
            <v>0</v>
          </cell>
          <cell r="H614">
            <v>0</v>
          </cell>
          <cell r="I614">
            <v>700</v>
          </cell>
          <cell r="J614">
            <v>0</v>
          </cell>
          <cell r="K614">
            <v>0</v>
          </cell>
          <cell r="L614">
            <v>0</v>
          </cell>
          <cell r="M614">
            <v>0</v>
          </cell>
          <cell r="N614">
            <v>0</v>
          </cell>
        </row>
        <row r="615">
          <cell r="A615" t="str">
            <v>5100</v>
          </cell>
          <cell r="B615" t="str">
            <v>014001110</v>
          </cell>
          <cell r="C615">
            <v>0</v>
          </cell>
          <cell r="D615">
            <v>1200</v>
          </cell>
          <cell r="E615">
            <v>0</v>
          </cell>
          <cell r="F615">
            <v>0</v>
          </cell>
          <cell r="G615">
            <v>0</v>
          </cell>
          <cell r="H615">
            <v>0</v>
          </cell>
          <cell r="I615">
            <v>1200</v>
          </cell>
          <cell r="J615">
            <v>0</v>
          </cell>
          <cell r="K615">
            <v>0</v>
          </cell>
          <cell r="L615">
            <v>0</v>
          </cell>
          <cell r="M615">
            <v>0</v>
          </cell>
          <cell r="N615">
            <v>0</v>
          </cell>
        </row>
        <row r="616">
          <cell r="A616" t="str">
            <v>5100</v>
          </cell>
          <cell r="B616" t="str">
            <v>014001120</v>
          </cell>
          <cell r="C616">
            <v>0</v>
          </cell>
          <cell r="D616">
            <v>500</v>
          </cell>
          <cell r="E616">
            <v>0</v>
          </cell>
          <cell r="F616">
            <v>0</v>
          </cell>
          <cell r="G616">
            <v>0</v>
          </cell>
          <cell r="H616">
            <v>0</v>
          </cell>
          <cell r="I616">
            <v>500</v>
          </cell>
          <cell r="J616">
            <v>0</v>
          </cell>
          <cell r="K616">
            <v>0</v>
          </cell>
          <cell r="L616">
            <v>0</v>
          </cell>
          <cell r="M616">
            <v>0</v>
          </cell>
          <cell r="N616">
            <v>0</v>
          </cell>
        </row>
        <row r="617">
          <cell r="A617" t="str">
            <v>5100</v>
          </cell>
          <cell r="B617" t="str">
            <v>014001201</v>
          </cell>
          <cell r="C617">
            <v>0</v>
          </cell>
          <cell r="D617">
            <v>500</v>
          </cell>
          <cell r="E617">
            <v>0</v>
          </cell>
          <cell r="F617">
            <v>0</v>
          </cell>
          <cell r="G617">
            <v>0</v>
          </cell>
          <cell r="H617">
            <v>0</v>
          </cell>
          <cell r="I617">
            <v>500</v>
          </cell>
          <cell r="J617">
            <v>0</v>
          </cell>
          <cell r="K617">
            <v>0</v>
          </cell>
          <cell r="L617">
            <v>0</v>
          </cell>
          <cell r="M617">
            <v>0</v>
          </cell>
          <cell r="N617">
            <v>0</v>
          </cell>
        </row>
        <row r="618">
          <cell r="A618" t="str">
            <v>5100</v>
          </cell>
          <cell r="B618" t="str">
            <v>014001211</v>
          </cell>
          <cell r="C618">
            <v>0</v>
          </cell>
          <cell r="D618">
            <v>1200</v>
          </cell>
          <cell r="E618">
            <v>0</v>
          </cell>
          <cell r="F618">
            <v>0</v>
          </cell>
          <cell r="G618">
            <v>0</v>
          </cell>
          <cell r="H618">
            <v>0</v>
          </cell>
          <cell r="I618">
            <v>0</v>
          </cell>
          <cell r="J618">
            <v>0</v>
          </cell>
          <cell r="K618">
            <v>1200</v>
          </cell>
          <cell r="L618">
            <v>0</v>
          </cell>
          <cell r="M618">
            <v>0</v>
          </cell>
          <cell r="N618">
            <v>0</v>
          </cell>
        </row>
        <row r="619">
          <cell r="A619" t="str">
            <v>5100</v>
          </cell>
          <cell r="B619" t="str">
            <v>014001515</v>
          </cell>
          <cell r="C619">
            <v>0</v>
          </cell>
          <cell r="D619">
            <v>2000</v>
          </cell>
          <cell r="E619">
            <v>0</v>
          </cell>
          <cell r="F619">
            <v>0</v>
          </cell>
          <cell r="G619">
            <v>0</v>
          </cell>
          <cell r="H619">
            <v>0</v>
          </cell>
          <cell r="I619">
            <v>2000</v>
          </cell>
          <cell r="J619">
            <v>0</v>
          </cell>
          <cell r="K619">
            <v>0</v>
          </cell>
          <cell r="L619">
            <v>0</v>
          </cell>
          <cell r="M619">
            <v>0</v>
          </cell>
          <cell r="N619">
            <v>0</v>
          </cell>
        </row>
        <row r="620">
          <cell r="A620" t="str">
            <v>5100</v>
          </cell>
          <cell r="B620" t="str">
            <v>014001522</v>
          </cell>
          <cell r="C620">
            <v>0</v>
          </cell>
          <cell r="D620">
            <v>200</v>
          </cell>
          <cell r="E620">
            <v>0</v>
          </cell>
          <cell r="F620">
            <v>0</v>
          </cell>
          <cell r="G620">
            <v>0</v>
          </cell>
          <cell r="H620">
            <v>0</v>
          </cell>
          <cell r="I620">
            <v>200</v>
          </cell>
          <cell r="J620">
            <v>0</v>
          </cell>
          <cell r="K620">
            <v>0</v>
          </cell>
          <cell r="L620">
            <v>0</v>
          </cell>
          <cell r="M620">
            <v>0</v>
          </cell>
          <cell r="N620">
            <v>0</v>
          </cell>
        </row>
        <row r="621">
          <cell r="A621" t="str">
            <v>5100</v>
          </cell>
          <cell r="B621" t="str">
            <v>014001621</v>
          </cell>
          <cell r="C621">
            <v>0</v>
          </cell>
          <cell r="D621">
            <v>500</v>
          </cell>
          <cell r="E621">
            <v>0</v>
          </cell>
          <cell r="F621">
            <v>0</v>
          </cell>
          <cell r="G621">
            <v>0</v>
          </cell>
          <cell r="H621">
            <v>0</v>
          </cell>
          <cell r="I621">
            <v>500</v>
          </cell>
          <cell r="J621">
            <v>0</v>
          </cell>
          <cell r="K621">
            <v>0</v>
          </cell>
          <cell r="L621">
            <v>0</v>
          </cell>
          <cell r="M621">
            <v>0</v>
          </cell>
          <cell r="N621">
            <v>0</v>
          </cell>
        </row>
        <row r="622">
          <cell r="A622" t="str">
            <v>5100</v>
          </cell>
          <cell r="B622" t="str">
            <v>014001720</v>
          </cell>
          <cell r="C622">
            <v>0</v>
          </cell>
          <cell r="D622">
            <v>250</v>
          </cell>
          <cell r="E622">
            <v>0</v>
          </cell>
          <cell r="F622">
            <v>0</v>
          </cell>
          <cell r="G622">
            <v>0</v>
          </cell>
          <cell r="H622">
            <v>0</v>
          </cell>
          <cell r="I622">
            <v>250</v>
          </cell>
          <cell r="J622">
            <v>0</v>
          </cell>
          <cell r="K622">
            <v>0</v>
          </cell>
          <cell r="L622">
            <v>0</v>
          </cell>
          <cell r="M622">
            <v>0</v>
          </cell>
          <cell r="N622">
            <v>0</v>
          </cell>
        </row>
        <row r="623">
          <cell r="A623" t="str">
            <v>5100</v>
          </cell>
          <cell r="B623" t="str">
            <v>014001761</v>
          </cell>
          <cell r="C623">
            <v>0</v>
          </cell>
          <cell r="D623">
            <v>600</v>
          </cell>
          <cell r="E623">
            <v>0</v>
          </cell>
          <cell r="F623">
            <v>0</v>
          </cell>
          <cell r="G623">
            <v>0</v>
          </cell>
          <cell r="H623">
            <v>0</v>
          </cell>
          <cell r="I623">
            <v>0</v>
          </cell>
          <cell r="J623">
            <v>0</v>
          </cell>
          <cell r="K623">
            <v>600</v>
          </cell>
          <cell r="L623">
            <v>0</v>
          </cell>
          <cell r="M623">
            <v>0</v>
          </cell>
          <cell r="N623">
            <v>0</v>
          </cell>
        </row>
        <row r="624">
          <cell r="A624" t="str">
            <v>5100</v>
          </cell>
          <cell r="B624" t="str">
            <v>014002110</v>
          </cell>
          <cell r="C624">
            <v>0</v>
          </cell>
          <cell r="D624">
            <v>1200</v>
          </cell>
          <cell r="E624">
            <v>1200</v>
          </cell>
          <cell r="F624">
            <v>0</v>
          </cell>
          <cell r="G624">
            <v>0</v>
          </cell>
          <cell r="H624">
            <v>0</v>
          </cell>
          <cell r="I624">
            <v>1200</v>
          </cell>
          <cell r="J624">
            <v>0</v>
          </cell>
          <cell r="K624">
            <v>0</v>
          </cell>
          <cell r="L624">
            <v>1200</v>
          </cell>
          <cell r="M624">
            <v>0</v>
          </cell>
          <cell r="N624">
            <v>0</v>
          </cell>
        </row>
        <row r="625">
          <cell r="A625" t="str">
            <v>5100</v>
          </cell>
          <cell r="B625" t="str">
            <v>014002171</v>
          </cell>
          <cell r="C625">
            <v>0</v>
          </cell>
          <cell r="D625">
            <v>1200</v>
          </cell>
          <cell r="E625">
            <v>0</v>
          </cell>
          <cell r="F625">
            <v>0</v>
          </cell>
          <cell r="G625">
            <v>0</v>
          </cell>
          <cell r="H625">
            <v>0</v>
          </cell>
          <cell r="I625">
            <v>0</v>
          </cell>
          <cell r="J625">
            <v>1200</v>
          </cell>
          <cell r="K625">
            <v>0</v>
          </cell>
          <cell r="L625">
            <v>0</v>
          </cell>
          <cell r="M625">
            <v>0</v>
          </cell>
          <cell r="N625">
            <v>0</v>
          </cell>
        </row>
        <row r="626">
          <cell r="A626" t="str">
            <v>5100</v>
          </cell>
          <cell r="B626" t="str">
            <v>014002240</v>
          </cell>
          <cell r="C626">
            <v>0</v>
          </cell>
          <cell r="D626">
            <v>1200</v>
          </cell>
          <cell r="E626">
            <v>0</v>
          </cell>
          <cell r="F626">
            <v>0</v>
          </cell>
          <cell r="G626">
            <v>0</v>
          </cell>
          <cell r="H626">
            <v>0</v>
          </cell>
          <cell r="I626">
            <v>0</v>
          </cell>
          <cell r="J626">
            <v>1200</v>
          </cell>
          <cell r="K626">
            <v>0</v>
          </cell>
          <cell r="L626">
            <v>0</v>
          </cell>
          <cell r="M626">
            <v>0</v>
          </cell>
          <cell r="N626">
            <v>0</v>
          </cell>
        </row>
        <row r="627">
          <cell r="A627" t="str">
            <v>5100</v>
          </cell>
          <cell r="B627" t="str">
            <v>014002350</v>
          </cell>
          <cell r="C627">
            <v>0</v>
          </cell>
          <cell r="D627">
            <v>600</v>
          </cell>
          <cell r="E627">
            <v>0</v>
          </cell>
          <cell r="F627">
            <v>0</v>
          </cell>
          <cell r="G627">
            <v>0</v>
          </cell>
          <cell r="H627">
            <v>0</v>
          </cell>
          <cell r="I627">
            <v>600</v>
          </cell>
          <cell r="J627">
            <v>0</v>
          </cell>
          <cell r="K627">
            <v>0</v>
          </cell>
          <cell r="L627">
            <v>0</v>
          </cell>
          <cell r="M627">
            <v>0</v>
          </cell>
          <cell r="N627">
            <v>0</v>
          </cell>
        </row>
        <row r="628">
          <cell r="A628" t="str">
            <v>5100</v>
          </cell>
          <cell r="B628" t="str">
            <v>014701073</v>
          </cell>
          <cell r="C628">
            <v>0</v>
          </cell>
          <cell r="D628">
            <v>400</v>
          </cell>
          <cell r="E628">
            <v>0</v>
          </cell>
          <cell r="F628">
            <v>0</v>
          </cell>
          <cell r="G628">
            <v>0</v>
          </cell>
          <cell r="H628">
            <v>0</v>
          </cell>
          <cell r="I628">
            <v>400</v>
          </cell>
          <cell r="J628">
            <v>0</v>
          </cell>
          <cell r="K628">
            <v>0</v>
          </cell>
          <cell r="L628">
            <v>0</v>
          </cell>
          <cell r="M628">
            <v>0</v>
          </cell>
          <cell r="N628">
            <v>0</v>
          </cell>
        </row>
        <row r="629">
          <cell r="A629" t="str">
            <v>5100</v>
          </cell>
          <cell r="B629" t="str">
            <v>014701163</v>
          </cell>
          <cell r="C629">
            <v>0</v>
          </cell>
          <cell r="D629">
            <v>500</v>
          </cell>
          <cell r="E629">
            <v>0</v>
          </cell>
          <cell r="F629">
            <v>0</v>
          </cell>
          <cell r="G629">
            <v>0</v>
          </cell>
          <cell r="H629">
            <v>0</v>
          </cell>
          <cell r="I629">
            <v>500</v>
          </cell>
          <cell r="J629">
            <v>0</v>
          </cell>
          <cell r="K629">
            <v>0</v>
          </cell>
          <cell r="L629">
            <v>0</v>
          </cell>
          <cell r="M629">
            <v>0</v>
          </cell>
          <cell r="N629">
            <v>0</v>
          </cell>
        </row>
        <row r="630">
          <cell r="A630" t="str">
            <v>5100</v>
          </cell>
          <cell r="B630" t="str">
            <v>014701400</v>
          </cell>
          <cell r="C630">
            <v>0</v>
          </cell>
          <cell r="D630">
            <v>300</v>
          </cell>
          <cell r="E630">
            <v>0</v>
          </cell>
          <cell r="F630">
            <v>0</v>
          </cell>
          <cell r="G630">
            <v>0</v>
          </cell>
          <cell r="H630">
            <v>0</v>
          </cell>
          <cell r="I630">
            <v>0</v>
          </cell>
          <cell r="J630">
            <v>300</v>
          </cell>
          <cell r="K630">
            <v>0</v>
          </cell>
          <cell r="L630">
            <v>0</v>
          </cell>
          <cell r="M630">
            <v>0</v>
          </cell>
          <cell r="N630">
            <v>0</v>
          </cell>
        </row>
        <row r="631">
          <cell r="A631" t="str">
            <v>5100</v>
          </cell>
          <cell r="B631" t="str">
            <v>014701410</v>
          </cell>
          <cell r="C631">
            <v>0</v>
          </cell>
          <cell r="D631">
            <v>300</v>
          </cell>
          <cell r="E631">
            <v>0</v>
          </cell>
          <cell r="F631">
            <v>0</v>
          </cell>
          <cell r="G631">
            <v>0</v>
          </cell>
          <cell r="H631">
            <v>0</v>
          </cell>
          <cell r="I631">
            <v>0</v>
          </cell>
          <cell r="J631">
            <v>300</v>
          </cell>
          <cell r="K631">
            <v>0</v>
          </cell>
          <cell r="L631">
            <v>0</v>
          </cell>
          <cell r="M631">
            <v>0</v>
          </cell>
          <cell r="N631">
            <v>0</v>
          </cell>
        </row>
        <row r="632">
          <cell r="A632" t="str">
            <v>5100</v>
          </cell>
          <cell r="B632" t="str">
            <v>014701421</v>
          </cell>
          <cell r="C632">
            <v>0</v>
          </cell>
          <cell r="D632">
            <v>200</v>
          </cell>
          <cell r="E632">
            <v>0</v>
          </cell>
          <cell r="F632">
            <v>0</v>
          </cell>
          <cell r="G632">
            <v>0</v>
          </cell>
          <cell r="H632">
            <v>0</v>
          </cell>
          <cell r="I632">
            <v>0</v>
          </cell>
          <cell r="J632">
            <v>200</v>
          </cell>
          <cell r="K632">
            <v>0</v>
          </cell>
          <cell r="L632">
            <v>0</v>
          </cell>
          <cell r="M632">
            <v>0</v>
          </cell>
          <cell r="N632">
            <v>0</v>
          </cell>
        </row>
        <row r="633">
          <cell r="A633" t="str">
            <v>5100</v>
          </cell>
          <cell r="B633" t="str">
            <v>014701511</v>
          </cell>
          <cell r="C633">
            <v>0</v>
          </cell>
          <cell r="D633">
            <v>500</v>
          </cell>
          <cell r="E633">
            <v>0</v>
          </cell>
          <cell r="F633">
            <v>0</v>
          </cell>
          <cell r="G633">
            <v>0</v>
          </cell>
          <cell r="H633">
            <v>0</v>
          </cell>
          <cell r="I633">
            <v>0</v>
          </cell>
          <cell r="J633">
            <v>500</v>
          </cell>
          <cell r="K633">
            <v>0</v>
          </cell>
          <cell r="L633">
            <v>0</v>
          </cell>
          <cell r="M633">
            <v>0</v>
          </cell>
          <cell r="N633">
            <v>0</v>
          </cell>
        </row>
        <row r="634">
          <cell r="A634" t="str">
            <v>5100</v>
          </cell>
          <cell r="B634" t="str">
            <v>014701622</v>
          </cell>
          <cell r="C634">
            <v>0</v>
          </cell>
          <cell r="D634">
            <v>300</v>
          </cell>
          <cell r="E634">
            <v>0</v>
          </cell>
          <cell r="F634">
            <v>0</v>
          </cell>
          <cell r="G634">
            <v>0</v>
          </cell>
          <cell r="H634">
            <v>0</v>
          </cell>
          <cell r="I634">
            <v>300</v>
          </cell>
          <cell r="J634">
            <v>0</v>
          </cell>
          <cell r="K634">
            <v>0</v>
          </cell>
          <cell r="L634">
            <v>0</v>
          </cell>
          <cell r="M634">
            <v>0</v>
          </cell>
          <cell r="N634">
            <v>0</v>
          </cell>
        </row>
        <row r="635">
          <cell r="A635" t="str">
            <v>5100</v>
          </cell>
          <cell r="B635" t="str">
            <v>014701861</v>
          </cell>
          <cell r="C635">
            <v>0</v>
          </cell>
          <cell r="D635">
            <v>500</v>
          </cell>
          <cell r="E635">
            <v>0</v>
          </cell>
          <cell r="F635">
            <v>0</v>
          </cell>
          <cell r="G635">
            <v>0</v>
          </cell>
          <cell r="H635">
            <v>0</v>
          </cell>
          <cell r="I635">
            <v>0</v>
          </cell>
          <cell r="J635">
            <v>500</v>
          </cell>
          <cell r="K635">
            <v>0</v>
          </cell>
          <cell r="L635">
            <v>0</v>
          </cell>
          <cell r="M635">
            <v>0</v>
          </cell>
          <cell r="N635">
            <v>0</v>
          </cell>
        </row>
        <row r="636">
          <cell r="A636" t="str">
            <v>5100</v>
          </cell>
          <cell r="B636" t="str">
            <v>014701870</v>
          </cell>
          <cell r="C636">
            <v>0</v>
          </cell>
          <cell r="D636">
            <v>500</v>
          </cell>
          <cell r="E636">
            <v>0</v>
          </cell>
          <cell r="F636">
            <v>0</v>
          </cell>
          <cell r="G636">
            <v>0</v>
          </cell>
          <cell r="H636">
            <v>0</v>
          </cell>
          <cell r="I636">
            <v>0</v>
          </cell>
          <cell r="J636">
            <v>500</v>
          </cell>
          <cell r="K636">
            <v>0</v>
          </cell>
          <cell r="L636">
            <v>0</v>
          </cell>
          <cell r="M636">
            <v>0</v>
          </cell>
          <cell r="N636">
            <v>0</v>
          </cell>
        </row>
        <row r="637">
          <cell r="A637" t="str">
            <v>5100</v>
          </cell>
          <cell r="B637" t="str">
            <v>014701901</v>
          </cell>
          <cell r="C637">
            <v>0</v>
          </cell>
          <cell r="D637">
            <v>10000</v>
          </cell>
          <cell r="E637">
            <v>0</v>
          </cell>
          <cell r="F637">
            <v>0</v>
          </cell>
          <cell r="G637">
            <v>0</v>
          </cell>
          <cell r="H637">
            <v>0</v>
          </cell>
          <cell r="I637">
            <v>10000</v>
          </cell>
          <cell r="J637">
            <v>0</v>
          </cell>
          <cell r="K637">
            <v>0</v>
          </cell>
          <cell r="L637">
            <v>0</v>
          </cell>
          <cell r="M637">
            <v>0</v>
          </cell>
          <cell r="N637">
            <v>0</v>
          </cell>
        </row>
        <row r="638">
          <cell r="A638" t="str">
            <v>5100</v>
          </cell>
          <cell r="B638" t="str">
            <v>014701961</v>
          </cell>
          <cell r="C638">
            <v>0</v>
          </cell>
          <cell r="D638">
            <v>2000</v>
          </cell>
          <cell r="E638">
            <v>0</v>
          </cell>
          <cell r="F638">
            <v>0</v>
          </cell>
          <cell r="G638">
            <v>0</v>
          </cell>
          <cell r="H638">
            <v>0</v>
          </cell>
          <cell r="I638">
            <v>2000</v>
          </cell>
          <cell r="J638">
            <v>0</v>
          </cell>
          <cell r="K638">
            <v>0</v>
          </cell>
          <cell r="L638">
            <v>0</v>
          </cell>
          <cell r="M638">
            <v>0</v>
          </cell>
          <cell r="N638">
            <v>0</v>
          </cell>
        </row>
        <row r="639">
          <cell r="A639" t="str">
            <v>5100</v>
          </cell>
          <cell r="B639" t="str">
            <v>014702201</v>
          </cell>
          <cell r="C639">
            <v>0</v>
          </cell>
          <cell r="D639">
            <v>2000</v>
          </cell>
          <cell r="E639">
            <v>0</v>
          </cell>
          <cell r="F639">
            <v>0</v>
          </cell>
          <cell r="G639">
            <v>0</v>
          </cell>
          <cell r="H639">
            <v>0</v>
          </cell>
          <cell r="I639">
            <v>2000</v>
          </cell>
          <cell r="J639">
            <v>0</v>
          </cell>
          <cell r="K639">
            <v>0</v>
          </cell>
          <cell r="L639">
            <v>0</v>
          </cell>
          <cell r="M639">
            <v>0</v>
          </cell>
          <cell r="N639">
            <v>0</v>
          </cell>
        </row>
        <row r="640">
          <cell r="A640" t="str">
            <v>5100</v>
          </cell>
          <cell r="B640" t="str">
            <v>014702211</v>
          </cell>
          <cell r="C640">
            <v>0</v>
          </cell>
          <cell r="D640">
            <v>800</v>
          </cell>
          <cell r="E640">
            <v>0</v>
          </cell>
          <cell r="F640">
            <v>0</v>
          </cell>
          <cell r="G640">
            <v>0</v>
          </cell>
          <cell r="H640">
            <v>0</v>
          </cell>
          <cell r="I640">
            <v>800</v>
          </cell>
          <cell r="J640">
            <v>0</v>
          </cell>
          <cell r="K640">
            <v>0</v>
          </cell>
          <cell r="L640">
            <v>0</v>
          </cell>
          <cell r="M640">
            <v>0</v>
          </cell>
          <cell r="N640">
            <v>0</v>
          </cell>
        </row>
        <row r="641">
          <cell r="A641" t="str">
            <v>5100</v>
          </cell>
          <cell r="B641" t="str">
            <v>014702241</v>
          </cell>
          <cell r="C641">
            <v>0</v>
          </cell>
          <cell r="D641">
            <v>2000</v>
          </cell>
          <cell r="E641">
            <v>0</v>
          </cell>
          <cell r="F641">
            <v>0</v>
          </cell>
          <cell r="G641">
            <v>0</v>
          </cell>
          <cell r="H641">
            <v>0</v>
          </cell>
          <cell r="I641">
            <v>2000</v>
          </cell>
          <cell r="J641">
            <v>0</v>
          </cell>
          <cell r="K641">
            <v>0</v>
          </cell>
          <cell r="L641">
            <v>0</v>
          </cell>
          <cell r="M641">
            <v>0</v>
          </cell>
          <cell r="N641">
            <v>0</v>
          </cell>
        </row>
        <row r="642">
          <cell r="A642" t="str">
            <v>5100</v>
          </cell>
          <cell r="B642" t="str">
            <v>014702250</v>
          </cell>
          <cell r="C642">
            <v>0</v>
          </cell>
          <cell r="D642">
            <v>700</v>
          </cell>
          <cell r="E642">
            <v>0</v>
          </cell>
          <cell r="F642">
            <v>0</v>
          </cell>
          <cell r="G642">
            <v>0</v>
          </cell>
          <cell r="H642">
            <v>0</v>
          </cell>
          <cell r="I642">
            <v>0</v>
          </cell>
          <cell r="J642">
            <v>700</v>
          </cell>
          <cell r="K642">
            <v>0</v>
          </cell>
          <cell r="L642">
            <v>0</v>
          </cell>
          <cell r="M642">
            <v>0</v>
          </cell>
          <cell r="N642">
            <v>0</v>
          </cell>
        </row>
        <row r="643">
          <cell r="A643" t="str">
            <v>5100</v>
          </cell>
          <cell r="B643" t="str">
            <v>014702660</v>
          </cell>
          <cell r="C643">
            <v>0</v>
          </cell>
          <cell r="D643">
            <v>400</v>
          </cell>
          <cell r="E643">
            <v>0</v>
          </cell>
          <cell r="F643">
            <v>0</v>
          </cell>
          <cell r="G643">
            <v>0</v>
          </cell>
          <cell r="H643">
            <v>0</v>
          </cell>
          <cell r="I643">
            <v>0</v>
          </cell>
          <cell r="J643">
            <v>400</v>
          </cell>
          <cell r="K643">
            <v>0</v>
          </cell>
          <cell r="L643">
            <v>0</v>
          </cell>
          <cell r="M643">
            <v>0</v>
          </cell>
          <cell r="N643">
            <v>0</v>
          </cell>
        </row>
        <row r="644">
          <cell r="A644" t="str">
            <v>5100</v>
          </cell>
          <cell r="B644" t="str">
            <v>014702680</v>
          </cell>
          <cell r="C644">
            <v>0</v>
          </cell>
          <cell r="D644">
            <v>200</v>
          </cell>
          <cell r="E644">
            <v>0</v>
          </cell>
          <cell r="F644">
            <v>0</v>
          </cell>
          <cell r="G644">
            <v>0</v>
          </cell>
          <cell r="H644">
            <v>0</v>
          </cell>
          <cell r="I644">
            <v>200</v>
          </cell>
          <cell r="J644">
            <v>0</v>
          </cell>
          <cell r="K644">
            <v>0</v>
          </cell>
          <cell r="L644">
            <v>0</v>
          </cell>
          <cell r="M644">
            <v>0</v>
          </cell>
          <cell r="N644">
            <v>0</v>
          </cell>
        </row>
        <row r="645">
          <cell r="A645" t="str">
            <v>5100</v>
          </cell>
          <cell r="B645" t="str">
            <v>014702750</v>
          </cell>
          <cell r="C645">
            <v>0</v>
          </cell>
          <cell r="D645">
            <v>300</v>
          </cell>
          <cell r="E645">
            <v>0</v>
          </cell>
          <cell r="F645">
            <v>0</v>
          </cell>
          <cell r="G645">
            <v>0</v>
          </cell>
          <cell r="H645">
            <v>0</v>
          </cell>
          <cell r="I645">
            <v>0</v>
          </cell>
          <cell r="J645">
            <v>300</v>
          </cell>
          <cell r="K645">
            <v>0</v>
          </cell>
          <cell r="L645">
            <v>0</v>
          </cell>
          <cell r="M645">
            <v>0</v>
          </cell>
          <cell r="N645">
            <v>0</v>
          </cell>
        </row>
        <row r="646">
          <cell r="A646" t="str">
            <v>5100</v>
          </cell>
          <cell r="B646" t="str">
            <v>014702840</v>
          </cell>
          <cell r="C646">
            <v>0</v>
          </cell>
          <cell r="D646">
            <v>150</v>
          </cell>
          <cell r="E646">
            <v>0</v>
          </cell>
          <cell r="F646">
            <v>0</v>
          </cell>
          <cell r="G646">
            <v>0</v>
          </cell>
          <cell r="H646">
            <v>0</v>
          </cell>
          <cell r="I646">
            <v>150</v>
          </cell>
          <cell r="J646">
            <v>0</v>
          </cell>
          <cell r="K646">
            <v>0</v>
          </cell>
          <cell r="L646">
            <v>0</v>
          </cell>
          <cell r="M646">
            <v>0</v>
          </cell>
          <cell r="N646">
            <v>0</v>
          </cell>
        </row>
        <row r="647">
          <cell r="A647" t="str">
            <v>5100</v>
          </cell>
          <cell r="B647" t="str">
            <v>014702870</v>
          </cell>
          <cell r="C647">
            <v>0</v>
          </cell>
          <cell r="D647">
            <v>200</v>
          </cell>
          <cell r="E647">
            <v>0</v>
          </cell>
          <cell r="F647">
            <v>0</v>
          </cell>
          <cell r="G647">
            <v>0</v>
          </cell>
          <cell r="H647">
            <v>0</v>
          </cell>
          <cell r="I647">
            <v>0</v>
          </cell>
          <cell r="J647">
            <v>200</v>
          </cell>
          <cell r="K647">
            <v>0</v>
          </cell>
          <cell r="L647">
            <v>0</v>
          </cell>
          <cell r="M647">
            <v>0</v>
          </cell>
          <cell r="N647">
            <v>0</v>
          </cell>
        </row>
        <row r="648">
          <cell r="A648" t="str">
            <v>5100</v>
          </cell>
          <cell r="B648" t="str">
            <v>014702880</v>
          </cell>
          <cell r="C648">
            <v>0</v>
          </cell>
          <cell r="D648">
            <v>400</v>
          </cell>
          <cell r="E648">
            <v>0</v>
          </cell>
          <cell r="F648">
            <v>0</v>
          </cell>
          <cell r="G648">
            <v>0</v>
          </cell>
          <cell r="H648">
            <v>0</v>
          </cell>
          <cell r="I648">
            <v>0</v>
          </cell>
          <cell r="J648">
            <v>400</v>
          </cell>
          <cell r="K648">
            <v>0</v>
          </cell>
          <cell r="L648">
            <v>0</v>
          </cell>
          <cell r="M648">
            <v>0</v>
          </cell>
          <cell r="N648">
            <v>0</v>
          </cell>
        </row>
        <row r="649">
          <cell r="A649" t="str">
            <v>5100</v>
          </cell>
          <cell r="B649" t="str">
            <v>014703051</v>
          </cell>
          <cell r="C649">
            <v>0</v>
          </cell>
          <cell r="D649">
            <v>1500</v>
          </cell>
          <cell r="E649">
            <v>0</v>
          </cell>
          <cell r="F649">
            <v>0</v>
          </cell>
          <cell r="G649">
            <v>0</v>
          </cell>
          <cell r="H649">
            <v>0</v>
          </cell>
          <cell r="I649">
            <v>1500</v>
          </cell>
          <cell r="J649">
            <v>0</v>
          </cell>
          <cell r="K649">
            <v>0</v>
          </cell>
          <cell r="L649">
            <v>0</v>
          </cell>
          <cell r="M649">
            <v>0</v>
          </cell>
          <cell r="N649">
            <v>0</v>
          </cell>
        </row>
        <row r="650">
          <cell r="A650" t="str">
            <v>5100</v>
          </cell>
          <cell r="B650" t="str">
            <v>014703061</v>
          </cell>
          <cell r="C650">
            <v>0</v>
          </cell>
          <cell r="D650">
            <v>1300</v>
          </cell>
          <cell r="E650">
            <v>0</v>
          </cell>
          <cell r="F650">
            <v>0</v>
          </cell>
          <cell r="G650">
            <v>0</v>
          </cell>
          <cell r="H650">
            <v>0</v>
          </cell>
          <cell r="I650">
            <v>1300</v>
          </cell>
          <cell r="J650">
            <v>0</v>
          </cell>
          <cell r="K650">
            <v>0</v>
          </cell>
          <cell r="L650">
            <v>0</v>
          </cell>
          <cell r="M650">
            <v>0</v>
          </cell>
          <cell r="N650">
            <v>0</v>
          </cell>
        </row>
        <row r="651">
          <cell r="A651" t="str">
            <v>5100</v>
          </cell>
          <cell r="B651" t="str">
            <v>014703480</v>
          </cell>
          <cell r="C651">
            <v>0</v>
          </cell>
          <cell r="D651">
            <v>0</v>
          </cell>
          <cell r="E651">
            <v>0</v>
          </cell>
          <cell r="F651">
            <v>0</v>
          </cell>
          <cell r="G651">
            <v>0</v>
          </cell>
          <cell r="H651">
            <v>0</v>
          </cell>
          <cell r="I651">
            <v>0</v>
          </cell>
          <cell r="J651">
            <v>0</v>
          </cell>
          <cell r="K651">
            <v>0</v>
          </cell>
          <cell r="L651">
            <v>0</v>
          </cell>
          <cell r="M651">
            <v>0</v>
          </cell>
          <cell r="N651">
            <v>0</v>
          </cell>
        </row>
        <row r="652">
          <cell r="A652" t="str">
            <v>5100</v>
          </cell>
          <cell r="B652" t="str">
            <v>014703490</v>
          </cell>
          <cell r="C652">
            <v>0</v>
          </cell>
          <cell r="D652">
            <v>0</v>
          </cell>
          <cell r="E652">
            <v>0</v>
          </cell>
          <cell r="F652">
            <v>0</v>
          </cell>
          <cell r="G652">
            <v>0</v>
          </cell>
          <cell r="H652">
            <v>0</v>
          </cell>
          <cell r="I652">
            <v>0</v>
          </cell>
          <cell r="J652">
            <v>0</v>
          </cell>
          <cell r="K652">
            <v>0</v>
          </cell>
          <cell r="L652">
            <v>0</v>
          </cell>
          <cell r="M652">
            <v>0</v>
          </cell>
          <cell r="N652">
            <v>0</v>
          </cell>
        </row>
        <row r="653">
          <cell r="A653" t="str">
            <v>5100</v>
          </cell>
          <cell r="B653" t="str">
            <v>014800332</v>
          </cell>
          <cell r="C653">
            <v>0</v>
          </cell>
          <cell r="D653">
            <v>500</v>
          </cell>
          <cell r="E653">
            <v>0</v>
          </cell>
          <cell r="F653">
            <v>0</v>
          </cell>
          <cell r="G653">
            <v>0</v>
          </cell>
          <cell r="H653">
            <v>0</v>
          </cell>
          <cell r="I653">
            <v>0</v>
          </cell>
          <cell r="J653">
            <v>0</v>
          </cell>
          <cell r="K653">
            <v>500</v>
          </cell>
          <cell r="L653">
            <v>0</v>
          </cell>
          <cell r="M653">
            <v>0</v>
          </cell>
          <cell r="N653">
            <v>0</v>
          </cell>
        </row>
        <row r="654">
          <cell r="A654" t="str">
            <v>5100</v>
          </cell>
          <cell r="B654" t="str">
            <v>014800621</v>
          </cell>
          <cell r="C654">
            <v>0</v>
          </cell>
          <cell r="D654">
            <v>300</v>
          </cell>
          <cell r="E654">
            <v>0</v>
          </cell>
          <cell r="F654">
            <v>0</v>
          </cell>
          <cell r="G654">
            <v>0</v>
          </cell>
          <cell r="H654">
            <v>0</v>
          </cell>
          <cell r="I654">
            <v>300</v>
          </cell>
          <cell r="J654">
            <v>0</v>
          </cell>
          <cell r="K654">
            <v>0</v>
          </cell>
          <cell r="L654">
            <v>0</v>
          </cell>
          <cell r="M654">
            <v>0</v>
          </cell>
          <cell r="N654">
            <v>0</v>
          </cell>
        </row>
        <row r="655">
          <cell r="A655" t="str">
            <v>5100</v>
          </cell>
          <cell r="B655" t="str">
            <v>014800702</v>
          </cell>
          <cell r="C655">
            <v>0</v>
          </cell>
          <cell r="D655">
            <v>300</v>
          </cell>
          <cell r="E655">
            <v>0</v>
          </cell>
          <cell r="F655">
            <v>0</v>
          </cell>
          <cell r="G655">
            <v>0</v>
          </cell>
          <cell r="H655">
            <v>0</v>
          </cell>
          <cell r="I655">
            <v>300</v>
          </cell>
          <cell r="J655">
            <v>0</v>
          </cell>
          <cell r="K655">
            <v>0</v>
          </cell>
          <cell r="L655">
            <v>0</v>
          </cell>
          <cell r="M655">
            <v>0</v>
          </cell>
          <cell r="N655">
            <v>0</v>
          </cell>
        </row>
        <row r="656">
          <cell r="A656" t="str">
            <v>5100</v>
          </cell>
          <cell r="B656" t="str">
            <v>014800711</v>
          </cell>
          <cell r="C656">
            <v>0</v>
          </cell>
          <cell r="D656">
            <v>300</v>
          </cell>
          <cell r="E656">
            <v>0</v>
          </cell>
          <cell r="F656">
            <v>0</v>
          </cell>
          <cell r="G656">
            <v>0</v>
          </cell>
          <cell r="H656">
            <v>0</v>
          </cell>
          <cell r="I656">
            <v>300</v>
          </cell>
          <cell r="J656">
            <v>0</v>
          </cell>
          <cell r="K656">
            <v>0</v>
          </cell>
          <cell r="L656">
            <v>0</v>
          </cell>
          <cell r="M656">
            <v>0</v>
          </cell>
          <cell r="N656">
            <v>0</v>
          </cell>
        </row>
        <row r="657">
          <cell r="A657" t="str">
            <v>5100</v>
          </cell>
          <cell r="B657" t="str">
            <v>014800781</v>
          </cell>
          <cell r="C657">
            <v>0</v>
          </cell>
          <cell r="D657">
            <v>600</v>
          </cell>
          <cell r="E657">
            <v>0</v>
          </cell>
          <cell r="F657">
            <v>0</v>
          </cell>
          <cell r="G657">
            <v>0</v>
          </cell>
          <cell r="H657">
            <v>0</v>
          </cell>
          <cell r="I657">
            <v>600</v>
          </cell>
          <cell r="J657">
            <v>0</v>
          </cell>
          <cell r="K657">
            <v>0</v>
          </cell>
          <cell r="L657">
            <v>0</v>
          </cell>
          <cell r="M657">
            <v>0</v>
          </cell>
          <cell r="N657">
            <v>0</v>
          </cell>
        </row>
        <row r="658">
          <cell r="A658" t="str">
            <v>5100</v>
          </cell>
          <cell r="B658" t="str">
            <v>014800790</v>
          </cell>
          <cell r="C658">
            <v>0</v>
          </cell>
          <cell r="D658">
            <v>1100</v>
          </cell>
          <cell r="E658">
            <v>0</v>
          </cell>
          <cell r="F658">
            <v>0</v>
          </cell>
          <cell r="G658">
            <v>0</v>
          </cell>
          <cell r="H658">
            <v>0</v>
          </cell>
          <cell r="I658">
            <v>1100</v>
          </cell>
          <cell r="J658">
            <v>0</v>
          </cell>
          <cell r="K658">
            <v>0</v>
          </cell>
          <cell r="L658">
            <v>0</v>
          </cell>
          <cell r="M658">
            <v>0</v>
          </cell>
          <cell r="N658">
            <v>0</v>
          </cell>
        </row>
        <row r="659">
          <cell r="A659" t="str">
            <v>5100</v>
          </cell>
          <cell r="B659" t="str">
            <v>014800840</v>
          </cell>
          <cell r="C659">
            <v>0</v>
          </cell>
          <cell r="D659">
            <v>600</v>
          </cell>
          <cell r="E659">
            <v>0</v>
          </cell>
          <cell r="F659">
            <v>0</v>
          </cell>
          <cell r="G659">
            <v>0</v>
          </cell>
          <cell r="H659">
            <v>0</v>
          </cell>
          <cell r="I659">
            <v>600</v>
          </cell>
          <cell r="J659">
            <v>0</v>
          </cell>
          <cell r="K659">
            <v>0</v>
          </cell>
          <cell r="L659">
            <v>0</v>
          </cell>
          <cell r="M659">
            <v>0</v>
          </cell>
          <cell r="N659">
            <v>0</v>
          </cell>
        </row>
        <row r="660">
          <cell r="A660" t="str">
            <v>5100</v>
          </cell>
          <cell r="B660" t="str">
            <v>014800850</v>
          </cell>
          <cell r="C660">
            <v>0</v>
          </cell>
          <cell r="D660">
            <v>600</v>
          </cell>
          <cell r="E660">
            <v>0</v>
          </cell>
          <cell r="F660">
            <v>0</v>
          </cell>
          <cell r="G660">
            <v>0</v>
          </cell>
          <cell r="H660">
            <v>0</v>
          </cell>
          <cell r="I660">
            <v>600</v>
          </cell>
          <cell r="J660">
            <v>0</v>
          </cell>
          <cell r="K660">
            <v>0</v>
          </cell>
          <cell r="L660">
            <v>0</v>
          </cell>
          <cell r="M660">
            <v>0</v>
          </cell>
          <cell r="N660">
            <v>0</v>
          </cell>
        </row>
        <row r="661">
          <cell r="A661" t="str">
            <v>5100</v>
          </cell>
          <cell r="B661" t="str">
            <v>014800900</v>
          </cell>
          <cell r="C661">
            <v>0</v>
          </cell>
          <cell r="D661">
            <v>500</v>
          </cell>
          <cell r="E661">
            <v>0</v>
          </cell>
          <cell r="F661">
            <v>0</v>
          </cell>
          <cell r="G661">
            <v>0</v>
          </cell>
          <cell r="H661">
            <v>0</v>
          </cell>
          <cell r="I661">
            <v>500</v>
          </cell>
          <cell r="J661">
            <v>0</v>
          </cell>
          <cell r="K661">
            <v>0</v>
          </cell>
          <cell r="L661">
            <v>0</v>
          </cell>
          <cell r="M661">
            <v>0</v>
          </cell>
          <cell r="N661">
            <v>0</v>
          </cell>
        </row>
        <row r="662">
          <cell r="A662" t="str">
            <v>5100</v>
          </cell>
          <cell r="B662" t="str">
            <v>014801010</v>
          </cell>
          <cell r="C662">
            <v>0</v>
          </cell>
          <cell r="D662">
            <v>550</v>
          </cell>
          <cell r="E662">
            <v>0</v>
          </cell>
          <cell r="F662">
            <v>0</v>
          </cell>
          <cell r="G662">
            <v>0</v>
          </cell>
          <cell r="H662">
            <v>0</v>
          </cell>
          <cell r="I662">
            <v>550</v>
          </cell>
          <cell r="J662">
            <v>0</v>
          </cell>
          <cell r="K662">
            <v>0</v>
          </cell>
          <cell r="L662">
            <v>0</v>
          </cell>
          <cell r="M662">
            <v>0</v>
          </cell>
          <cell r="N662">
            <v>0</v>
          </cell>
        </row>
        <row r="663">
          <cell r="A663" t="str">
            <v>5100</v>
          </cell>
          <cell r="B663" t="str">
            <v>014801021</v>
          </cell>
          <cell r="C663">
            <v>0</v>
          </cell>
          <cell r="D663">
            <v>300</v>
          </cell>
          <cell r="E663">
            <v>0</v>
          </cell>
          <cell r="F663">
            <v>0</v>
          </cell>
          <cell r="G663">
            <v>0</v>
          </cell>
          <cell r="H663">
            <v>0</v>
          </cell>
          <cell r="I663">
            <v>300</v>
          </cell>
          <cell r="J663">
            <v>0</v>
          </cell>
          <cell r="K663">
            <v>0</v>
          </cell>
          <cell r="L663">
            <v>0</v>
          </cell>
          <cell r="M663">
            <v>0</v>
          </cell>
          <cell r="N663">
            <v>0</v>
          </cell>
        </row>
        <row r="664">
          <cell r="A664" t="str">
            <v>5100</v>
          </cell>
          <cell r="B664" t="str">
            <v>015100274</v>
          </cell>
          <cell r="C664">
            <v>0</v>
          </cell>
          <cell r="D664">
            <v>200</v>
          </cell>
          <cell r="E664">
            <v>0</v>
          </cell>
          <cell r="F664">
            <v>0</v>
          </cell>
          <cell r="G664">
            <v>0</v>
          </cell>
          <cell r="H664">
            <v>0</v>
          </cell>
          <cell r="I664">
            <v>200</v>
          </cell>
          <cell r="J664">
            <v>0</v>
          </cell>
          <cell r="K664">
            <v>0</v>
          </cell>
          <cell r="L664">
            <v>0</v>
          </cell>
          <cell r="M664">
            <v>0</v>
          </cell>
          <cell r="N664">
            <v>0</v>
          </cell>
        </row>
        <row r="665">
          <cell r="A665" t="str">
            <v>5100</v>
          </cell>
          <cell r="B665" t="str">
            <v>015100343</v>
          </cell>
          <cell r="C665">
            <v>0</v>
          </cell>
          <cell r="D665">
            <v>1200</v>
          </cell>
          <cell r="E665">
            <v>0</v>
          </cell>
          <cell r="F665">
            <v>0</v>
          </cell>
          <cell r="G665">
            <v>0</v>
          </cell>
          <cell r="H665">
            <v>0</v>
          </cell>
          <cell r="I665">
            <v>1200</v>
          </cell>
          <cell r="J665">
            <v>0</v>
          </cell>
          <cell r="K665">
            <v>0</v>
          </cell>
          <cell r="L665">
            <v>0</v>
          </cell>
          <cell r="M665">
            <v>0</v>
          </cell>
          <cell r="N665">
            <v>0</v>
          </cell>
        </row>
        <row r="666">
          <cell r="A666" t="str">
            <v>5100</v>
          </cell>
          <cell r="B666" t="str">
            <v>015100365</v>
          </cell>
          <cell r="C666">
            <v>0</v>
          </cell>
          <cell r="D666">
            <v>1200</v>
          </cell>
          <cell r="E666">
            <v>0</v>
          </cell>
          <cell r="F666">
            <v>0</v>
          </cell>
          <cell r="G666">
            <v>0</v>
          </cell>
          <cell r="H666">
            <v>0</v>
          </cell>
          <cell r="I666">
            <v>1200</v>
          </cell>
          <cell r="J666">
            <v>0</v>
          </cell>
          <cell r="K666">
            <v>0</v>
          </cell>
          <cell r="L666">
            <v>0</v>
          </cell>
          <cell r="M666">
            <v>0</v>
          </cell>
          <cell r="N666">
            <v>0</v>
          </cell>
        </row>
        <row r="667">
          <cell r="A667" t="str">
            <v>5100</v>
          </cell>
          <cell r="B667" t="str">
            <v>015100413</v>
          </cell>
          <cell r="C667">
            <v>0</v>
          </cell>
          <cell r="D667">
            <v>1200</v>
          </cell>
          <cell r="E667">
            <v>0</v>
          </cell>
          <cell r="F667">
            <v>0</v>
          </cell>
          <cell r="G667">
            <v>0</v>
          </cell>
          <cell r="H667">
            <v>0</v>
          </cell>
          <cell r="I667">
            <v>0</v>
          </cell>
          <cell r="J667">
            <v>0</v>
          </cell>
          <cell r="K667">
            <v>1200</v>
          </cell>
          <cell r="L667">
            <v>0</v>
          </cell>
          <cell r="M667">
            <v>0</v>
          </cell>
          <cell r="N667">
            <v>0</v>
          </cell>
        </row>
        <row r="668">
          <cell r="A668" t="str">
            <v>5100</v>
          </cell>
          <cell r="B668" t="str">
            <v>015100423</v>
          </cell>
          <cell r="C668">
            <v>0</v>
          </cell>
          <cell r="D668">
            <v>2400</v>
          </cell>
          <cell r="E668">
            <v>0</v>
          </cell>
          <cell r="F668">
            <v>0</v>
          </cell>
          <cell r="G668">
            <v>0</v>
          </cell>
          <cell r="H668">
            <v>0</v>
          </cell>
          <cell r="I668">
            <v>1200</v>
          </cell>
          <cell r="J668">
            <v>0</v>
          </cell>
          <cell r="K668">
            <v>1200</v>
          </cell>
          <cell r="L668">
            <v>0</v>
          </cell>
          <cell r="M668">
            <v>0</v>
          </cell>
          <cell r="N668">
            <v>0</v>
          </cell>
        </row>
        <row r="669">
          <cell r="A669" t="str">
            <v>5100</v>
          </cell>
          <cell r="B669" t="str">
            <v>015100442</v>
          </cell>
          <cell r="C669">
            <v>0</v>
          </cell>
          <cell r="D669">
            <v>1200</v>
          </cell>
          <cell r="E669">
            <v>0</v>
          </cell>
          <cell r="F669">
            <v>0</v>
          </cell>
          <cell r="G669">
            <v>0</v>
          </cell>
          <cell r="H669">
            <v>0</v>
          </cell>
          <cell r="I669">
            <v>1200</v>
          </cell>
          <cell r="J669">
            <v>0</v>
          </cell>
          <cell r="K669">
            <v>0</v>
          </cell>
          <cell r="L669">
            <v>0</v>
          </cell>
          <cell r="M669">
            <v>0</v>
          </cell>
          <cell r="N669">
            <v>0</v>
          </cell>
        </row>
        <row r="670">
          <cell r="A670" t="str">
            <v>5100</v>
          </cell>
          <cell r="B670" t="str">
            <v>015100612</v>
          </cell>
          <cell r="C670">
            <v>0</v>
          </cell>
          <cell r="D670">
            <v>700</v>
          </cell>
          <cell r="E670">
            <v>0</v>
          </cell>
          <cell r="F670">
            <v>0</v>
          </cell>
          <cell r="G670">
            <v>0</v>
          </cell>
          <cell r="H670">
            <v>0</v>
          </cell>
          <cell r="I670">
            <v>700</v>
          </cell>
          <cell r="J670">
            <v>0</v>
          </cell>
          <cell r="K670">
            <v>0</v>
          </cell>
          <cell r="L670">
            <v>0</v>
          </cell>
          <cell r="M670">
            <v>0</v>
          </cell>
          <cell r="N670">
            <v>0</v>
          </cell>
        </row>
        <row r="671">
          <cell r="A671" t="str">
            <v>5100</v>
          </cell>
          <cell r="B671" t="str">
            <v>015100871</v>
          </cell>
          <cell r="C671">
            <v>0</v>
          </cell>
          <cell r="D671">
            <v>700</v>
          </cell>
          <cell r="E671">
            <v>0</v>
          </cell>
          <cell r="F671">
            <v>0</v>
          </cell>
          <cell r="G671">
            <v>0</v>
          </cell>
          <cell r="H671">
            <v>0</v>
          </cell>
          <cell r="I671">
            <v>700</v>
          </cell>
          <cell r="J671">
            <v>0</v>
          </cell>
          <cell r="K671">
            <v>0</v>
          </cell>
          <cell r="L671">
            <v>0</v>
          </cell>
          <cell r="M671">
            <v>0</v>
          </cell>
          <cell r="N671">
            <v>0</v>
          </cell>
        </row>
        <row r="672">
          <cell r="A672" t="str">
            <v>5100</v>
          </cell>
          <cell r="B672" t="str">
            <v>015100881</v>
          </cell>
          <cell r="C672">
            <v>0</v>
          </cell>
          <cell r="D672">
            <v>1200</v>
          </cell>
          <cell r="E672">
            <v>0</v>
          </cell>
          <cell r="F672">
            <v>0</v>
          </cell>
          <cell r="G672">
            <v>0</v>
          </cell>
          <cell r="H672">
            <v>0</v>
          </cell>
          <cell r="I672">
            <v>1200</v>
          </cell>
          <cell r="J672">
            <v>0</v>
          </cell>
          <cell r="K672">
            <v>0</v>
          </cell>
          <cell r="L672">
            <v>0</v>
          </cell>
          <cell r="M672">
            <v>0</v>
          </cell>
          <cell r="N672">
            <v>0</v>
          </cell>
        </row>
        <row r="673">
          <cell r="A673" t="str">
            <v>5100</v>
          </cell>
          <cell r="B673" t="str">
            <v>015101031</v>
          </cell>
          <cell r="C673">
            <v>0</v>
          </cell>
          <cell r="D673">
            <v>200</v>
          </cell>
          <cell r="E673">
            <v>0</v>
          </cell>
          <cell r="F673">
            <v>0</v>
          </cell>
          <cell r="G673">
            <v>0</v>
          </cell>
          <cell r="H673">
            <v>0</v>
          </cell>
          <cell r="I673">
            <v>200</v>
          </cell>
          <cell r="J673">
            <v>0</v>
          </cell>
          <cell r="K673">
            <v>0</v>
          </cell>
          <cell r="L673">
            <v>0</v>
          </cell>
          <cell r="M673">
            <v>0</v>
          </cell>
          <cell r="N673">
            <v>0</v>
          </cell>
        </row>
        <row r="674">
          <cell r="A674" t="str">
            <v>5100</v>
          </cell>
          <cell r="B674" t="str">
            <v>015101091</v>
          </cell>
          <cell r="C674">
            <v>0</v>
          </cell>
          <cell r="D674">
            <v>200</v>
          </cell>
          <cell r="E674">
            <v>0</v>
          </cell>
          <cell r="F674">
            <v>0</v>
          </cell>
          <cell r="G674">
            <v>0</v>
          </cell>
          <cell r="H674">
            <v>0</v>
          </cell>
          <cell r="I674">
            <v>200</v>
          </cell>
          <cell r="J674">
            <v>0</v>
          </cell>
          <cell r="K674">
            <v>0</v>
          </cell>
          <cell r="L674">
            <v>0</v>
          </cell>
          <cell r="M674">
            <v>0</v>
          </cell>
          <cell r="N674">
            <v>0</v>
          </cell>
        </row>
        <row r="675">
          <cell r="A675" t="str">
            <v>5100</v>
          </cell>
          <cell r="B675" t="str">
            <v>015101120</v>
          </cell>
          <cell r="C675">
            <v>0</v>
          </cell>
          <cell r="D675">
            <v>700</v>
          </cell>
          <cell r="E675">
            <v>0</v>
          </cell>
          <cell r="F675">
            <v>0</v>
          </cell>
          <cell r="G675">
            <v>0</v>
          </cell>
          <cell r="H675">
            <v>0</v>
          </cell>
          <cell r="I675">
            <v>0</v>
          </cell>
          <cell r="J675">
            <v>0</v>
          </cell>
          <cell r="K675">
            <v>700</v>
          </cell>
          <cell r="L675">
            <v>0</v>
          </cell>
          <cell r="M675">
            <v>0</v>
          </cell>
          <cell r="N675">
            <v>0</v>
          </cell>
        </row>
        <row r="676">
          <cell r="A676" t="str">
            <v>5100</v>
          </cell>
          <cell r="B676" t="str">
            <v>015101141</v>
          </cell>
          <cell r="C676">
            <v>0</v>
          </cell>
          <cell r="D676">
            <v>300</v>
          </cell>
          <cell r="E676">
            <v>0</v>
          </cell>
          <cell r="F676">
            <v>0</v>
          </cell>
          <cell r="G676">
            <v>0</v>
          </cell>
          <cell r="H676">
            <v>0</v>
          </cell>
          <cell r="I676">
            <v>300</v>
          </cell>
          <cell r="J676">
            <v>0</v>
          </cell>
          <cell r="K676">
            <v>0</v>
          </cell>
          <cell r="L676">
            <v>0</v>
          </cell>
          <cell r="M676">
            <v>0</v>
          </cell>
          <cell r="N676">
            <v>0</v>
          </cell>
        </row>
        <row r="677">
          <cell r="A677" t="str">
            <v>5100</v>
          </cell>
          <cell r="B677" t="str">
            <v>015101160</v>
          </cell>
          <cell r="C677">
            <v>0</v>
          </cell>
          <cell r="D677">
            <v>300</v>
          </cell>
          <cell r="E677">
            <v>0</v>
          </cell>
          <cell r="F677">
            <v>0</v>
          </cell>
          <cell r="G677">
            <v>0</v>
          </cell>
          <cell r="H677">
            <v>0</v>
          </cell>
          <cell r="I677">
            <v>0</v>
          </cell>
          <cell r="J677">
            <v>300</v>
          </cell>
          <cell r="K677">
            <v>0</v>
          </cell>
          <cell r="L677">
            <v>0</v>
          </cell>
          <cell r="M677">
            <v>0</v>
          </cell>
          <cell r="N677">
            <v>0</v>
          </cell>
        </row>
        <row r="678">
          <cell r="A678" t="str">
            <v>5100</v>
          </cell>
          <cell r="B678" t="str">
            <v>015101200</v>
          </cell>
          <cell r="C678">
            <v>0</v>
          </cell>
          <cell r="D678">
            <v>1000</v>
          </cell>
          <cell r="E678">
            <v>0</v>
          </cell>
          <cell r="F678">
            <v>0</v>
          </cell>
          <cell r="G678">
            <v>0</v>
          </cell>
          <cell r="H678">
            <v>0</v>
          </cell>
          <cell r="I678">
            <v>0</v>
          </cell>
          <cell r="J678">
            <v>1000</v>
          </cell>
          <cell r="K678">
            <v>0</v>
          </cell>
          <cell r="L678">
            <v>0</v>
          </cell>
          <cell r="M678">
            <v>0</v>
          </cell>
          <cell r="N678">
            <v>0</v>
          </cell>
        </row>
        <row r="679">
          <cell r="A679" t="str">
            <v>5100</v>
          </cell>
          <cell r="B679" t="str">
            <v>015101210</v>
          </cell>
          <cell r="C679">
            <v>0</v>
          </cell>
          <cell r="D679">
            <v>1000</v>
          </cell>
          <cell r="E679">
            <v>1000</v>
          </cell>
          <cell r="F679">
            <v>0</v>
          </cell>
          <cell r="G679">
            <v>0</v>
          </cell>
          <cell r="H679">
            <v>0</v>
          </cell>
          <cell r="I679">
            <v>0</v>
          </cell>
          <cell r="J679">
            <v>1000</v>
          </cell>
          <cell r="K679">
            <v>0</v>
          </cell>
          <cell r="L679">
            <v>0</v>
          </cell>
          <cell r="M679">
            <v>1000</v>
          </cell>
          <cell r="N679">
            <v>0</v>
          </cell>
        </row>
        <row r="680">
          <cell r="A680" t="str">
            <v>5100</v>
          </cell>
          <cell r="B680" t="str">
            <v>015101231</v>
          </cell>
          <cell r="C680">
            <v>0</v>
          </cell>
          <cell r="D680">
            <v>1200</v>
          </cell>
          <cell r="E680">
            <v>0</v>
          </cell>
          <cell r="F680">
            <v>0</v>
          </cell>
          <cell r="G680">
            <v>0</v>
          </cell>
          <cell r="H680">
            <v>0</v>
          </cell>
          <cell r="I680">
            <v>0</v>
          </cell>
          <cell r="J680">
            <v>1200</v>
          </cell>
          <cell r="K680">
            <v>0</v>
          </cell>
          <cell r="L680">
            <v>0</v>
          </cell>
          <cell r="M680">
            <v>0</v>
          </cell>
          <cell r="N680">
            <v>0</v>
          </cell>
        </row>
        <row r="681">
          <cell r="A681" t="str">
            <v>5100</v>
          </cell>
          <cell r="B681" t="str">
            <v>015101470</v>
          </cell>
          <cell r="C681">
            <v>0</v>
          </cell>
          <cell r="D681">
            <v>700</v>
          </cell>
          <cell r="E681">
            <v>0</v>
          </cell>
          <cell r="F681">
            <v>0</v>
          </cell>
          <cell r="G681">
            <v>0</v>
          </cell>
          <cell r="H681">
            <v>0</v>
          </cell>
          <cell r="I681">
            <v>700</v>
          </cell>
          <cell r="J681">
            <v>0</v>
          </cell>
          <cell r="K681">
            <v>0</v>
          </cell>
          <cell r="L681">
            <v>0</v>
          </cell>
          <cell r="M681">
            <v>0</v>
          </cell>
          <cell r="N681">
            <v>0</v>
          </cell>
        </row>
        <row r="682">
          <cell r="A682" t="str">
            <v>5100</v>
          </cell>
          <cell r="B682" t="str">
            <v>015101480</v>
          </cell>
          <cell r="C682">
            <v>0</v>
          </cell>
          <cell r="D682">
            <v>700</v>
          </cell>
          <cell r="E682">
            <v>0</v>
          </cell>
          <cell r="F682">
            <v>0</v>
          </cell>
          <cell r="G682">
            <v>0</v>
          </cell>
          <cell r="H682">
            <v>0</v>
          </cell>
          <cell r="I682">
            <v>700</v>
          </cell>
          <cell r="J682">
            <v>0</v>
          </cell>
          <cell r="K682">
            <v>0</v>
          </cell>
          <cell r="L682">
            <v>0</v>
          </cell>
          <cell r="M682">
            <v>0</v>
          </cell>
          <cell r="N682">
            <v>0</v>
          </cell>
        </row>
        <row r="683">
          <cell r="A683" t="str">
            <v>5100</v>
          </cell>
          <cell r="B683" t="str">
            <v>015101510</v>
          </cell>
          <cell r="C683">
            <v>0</v>
          </cell>
          <cell r="D683">
            <v>300</v>
          </cell>
          <cell r="E683">
            <v>0</v>
          </cell>
          <cell r="F683">
            <v>0</v>
          </cell>
          <cell r="G683">
            <v>0</v>
          </cell>
          <cell r="H683">
            <v>0</v>
          </cell>
          <cell r="I683">
            <v>300</v>
          </cell>
          <cell r="J683">
            <v>0</v>
          </cell>
          <cell r="K683">
            <v>0</v>
          </cell>
          <cell r="L683">
            <v>0</v>
          </cell>
          <cell r="M683">
            <v>0</v>
          </cell>
          <cell r="N683">
            <v>0</v>
          </cell>
        </row>
        <row r="684">
          <cell r="A684" t="str">
            <v>5100</v>
          </cell>
          <cell r="B684" t="str">
            <v>015200213</v>
          </cell>
          <cell r="C684">
            <v>0</v>
          </cell>
          <cell r="D684">
            <v>700</v>
          </cell>
          <cell r="E684">
            <v>0</v>
          </cell>
          <cell r="F684">
            <v>0</v>
          </cell>
          <cell r="G684">
            <v>0</v>
          </cell>
          <cell r="H684">
            <v>0</v>
          </cell>
          <cell r="I684">
            <v>700</v>
          </cell>
          <cell r="J684">
            <v>0</v>
          </cell>
          <cell r="K684">
            <v>0</v>
          </cell>
          <cell r="L684">
            <v>0</v>
          </cell>
          <cell r="M684">
            <v>0</v>
          </cell>
          <cell r="N684">
            <v>0</v>
          </cell>
        </row>
        <row r="685">
          <cell r="A685" t="str">
            <v>5100</v>
          </cell>
          <cell r="B685" t="str">
            <v>015200422</v>
          </cell>
          <cell r="C685">
            <v>0</v>
          </cell>
          <cell r="D685">
            <v>400</v>
          </cell>
          <cell r="E685">
            <v>0</v>
          </cell>
          <cell r="F685">
            <v>0</v>
          </cell>
          <cell r="G685">
            <v>0</v>
          </cell>
          <cell r="H685">
            <v>0</v>
          </cell>
          <cell r="I685">
            <v>400</v>
          </cell>
          <cell r="J685">
            <v>0</v>
          </cell>
          <cell r="K685">
            <v>0</v>
          </cell>
          <cell r="L685">
            <v>0</v>
          </cell>
          <cell r="M685">
            <v>0</v>
          </cell>
          <cell r="N685">
            <v>0</v>
          </cell>
        </row>
        <row r="686">
          <cell r="A686" t="str">
            <v>5100</v>
          </cell>
          <cell r="B686" t="str">
            <v>015200432</v>
          </cell>
          <cell r="C686">
            <v>0</v>
          </cell>
          <cell r="D686">
            <v>300</v>
          </cell>
          <cell r="E686">
            <v>0</v>
          </cell>
          <cell r="F686">
            <v>0</v>
          </cell>
          <cell r="G686">
            <v>0</v>
          </cell>
          <cell r="H686">
            <v>0</v>
          </cell>
          <cell r="I686">
            <v>300</v>
          </cell>
          <cell r="J686">
            <v>0</v>
          </cell>
          <cell r="K686">
            <v>0</v>
          </cell>
          <cell r="L686">
            <v>0</v>
          </cell>
          <cell r="M686">
            <v>0</v>
          </cell>
          <cell r="N686">
            <v>0</v>
          </cell>
        </row>
        <row r="687">
          <cell r="A687" t="str">
            <v>5100</v>
          </cell>
          <cell r="B687" t="str">
            <v>015200440</v>
          </cell>
          <cell r="C687">
            <v>0</v>
          </cell>
          <cell r="D687">
            <v>700</v>
          </cell>
          <cell r="E687">
            <v>0</v>
          </cell>
          <cell r="F687">
            <v>0</v>
          </cell>
          <cell r="G687">
            <v>0</v>
          </cell>
          <cell r="H687">
            <v>0</v>
          </cell>
          <cell r="I687">
            <v>700</v>
          </cell>
          <cell r="J687">
            <v>0</v>
          </cell>
          <cell r="K687">
            <v>0</v>
          </cell>
          <cell r="L687">
            <v>0</v>
          </cell>
          <cell r="M687">
            <v>0</v>
          </cell>
          <cell r="N687">
            <v>0</v>
          </cell>
        </row>
        <row r="688">
          <cell r="A688" t="str">
            <v>5100</v>
          </cell>
          <cell r="B688" t="str">
            <v>015200451</v>
          </cell>
          <cell r="C688">
            <v>0</v>
          </cell>
          <cell r="D688">
            <v>500</v>
          </cell>
          <cell r="E688">
            <v>0</v>
          </cell>
          <cell r="F688">
            <v>0</v>
          </cell>
          <cell r="G688">
            <v>0</v>
          </cell>
          <cell r="H688">
            <v>0</v>
          </cell>
          <cell r="I688">
            <v>500</v>
          </cell>
          <cell r="J688">
            <v>0</v>
          </cell>
          <cell r="K688">
            <v>0</v>
          </cell>
          <cell r="L688">
            <v>0</v>
          </cell>
          <cell r="M688">
            <v>0</v>
          </cell>
          <cell r="N688">
            <v>0</v>
          </cell>
        </row>
        <row r="689">
          <cell r="A689" t="str">
            <v>5100</v>
          </cell>
          <cell r="B689" t="str">
            <v>015200551</v>
          </cell>
          <cell r="C689">
            <v>0</v>
          </cell>
          <cell r="D689">
            <v>700</v>
          </cell>
          <cell r="E689">
            <v>0</v>
          </cell>
          <cell r="F689">
            <v>0</v>
          </cell>
          <cell r="G689">
            <v>0</v>
          </cell>
          <cell r="H689">
            <v>0</v>
          </cell>
          <cell r="I689">
            <v>700</v>
          </cell>
          <cell r="J689">
            <v>0</v>
          </cell>
          <cell r="K689">
            <v>0</v>
          </cell>
          <cell r="L689">
            <v>0</v>
          </cell>
          <cell r="M689">
            <v>0</v>
          </cell>
          <cell r="N689">
            <v>0</v>
          </cell>
        </row>
        <row r="690">
          <cell r="A690" t="str">
            <v>5100</v>
          </cell>
          <cell r="B690" t="str">
            <v>015200600</v>
          </cell>
          <cell r="C690">
            <v>0</v>
          </cell>
          <cell r="D690">
            <v>700</v>
          </cell>
          <cell r="E690">
            <v>0</v>
          </cell>
          <cell r="F690">
            <v>0</v>
          </cell>
          <cell r="G690">
            <v>0</v>
          </cell>
          <cell r="H690">
            <v>0</v>
          </cell>
          <cell r="I690">
            <v>700</v>
          </cell>
          <cell r="J690">
            <v>0</v>
          </cell>
          <cell r="K690">
            <v>0</v>
          </cell>
          <cell r="L690">
            <v>0</v>
          </cell>
          <cell r="M690">
            <v>0</v>
          </cell>
          <cell r="N690">
            <v>0</v>
          </cell>
        </row>
        <row r="691">
          <cell r="A691" t="str">
            <v>5100</v>
          </cell>
          <cell r="B691" t="str">
            <v>015200610</v>
          </cell>
          <cell r="C691">
            <v>0</v>
          </cell>
          <cell r="D691">
            <v>700</v>
          </cell>
          <cell r="E691">
            <v>0</v>
          </cell>
          <cell r="F691">
            <v>0</v>
          </cell>
          <cell r="G691">
            <v>0</v>
          </cell>
          <cell r="H691">
            <v>0</v>
          </cell>
          <cell r="I691">
            <v>700</v>
          </cell>
          <cell r="J691">
            <v>0</v>
          </cell>
          <cell r="K691">
            <v>0</v>
          </cell>
          <cell r="L691">
            <v>0</v>
          </cell>
          <cell r="M691">
            <v>0</v>
          </cell>
          <cell r="N691">
            <v>0</v>
          </cell>
        </row>
        <row r="692">
          <cell r="A692" t="str">
            <v>5100</v>
          </cell>
          <cell r="B692" t="str">
            <v>015200761</v>
          </cell>
          <cell r="C692">
            <v>0</v>
          </cell>
          <cell r="D692">
            <v>300</v>
          </cell>
          <cell r="E692">
            <v>0</v>
          </cell>
          <cell r="F692">
            <v>0</v>
          </cell>
          <cell r="G692">
            <v>0</v>
          </cell>
          <cell r="H692">
            <v>0</v>
          </cell>
          <cell r="I692">
            <v>300</v>
          </cell>
          <cell r="J692">
            <v>0</v>
          </cell>
          <cell r="K692">
            <v>0</v>
          </cell>
          <cell r="L692">
            <v>0</v>
          </cell>
          <cell r="M692">
            <v>0</v>
          </cell>
          <cell r="N692">
            <v>0</v>
          </cell>
        </row>
        <row r="693">
          <cell r="A693" t="str">
            <v>5100</v>
          </cell>
          <cell r="B693" t="str">
            <v>015200781</v>
          </cell>
          <cell r="C693">
            <v>0</v>
          </cell>
          <cell r="D693">
            <v>300</v>
          </cell>
          <cell r="E693">
            <v>0</v>
          </cell>
          <cell r="F693">
            <v>0</v>
          </cell>
          <cell r="G693">
            <v>0</v>
          </cell>
          <cell r="H693">
            <v>0</v>
          </cell>
          <cell r="I693">
            <v>300</v>
          </cell>
          <cell r="J693">
            <v>0</v>
          </cell>
          <cell r="K693">
            <v>0</v>
          </cell>
          <cell r="L693">
            <v>0</v>
          </cell>
          <cell r="M693">
            <v>0</v>
          </cell>
          <cell r="N693">
            <v>0</v>
          </cell>
        </row>
        <row r="694">
          <cell r="A694" t="str">
            <v>5100</v>
          </cell>
          <cell r="B694" t="str">
            <v>015200890</v>
          </cell>
          <cell r="C694">
            <v>0</v>
          </cell>
          <cell r="D694">
            <v>300</v>
          </cell>
          <cell r="E694">
            <v>0</v>
          </cell>
          <cell r="F694">
            <v>0</v>
          </cell>
          <cell r="G694">
            <v>0</v>
          </cell>
          <cell r="H694">
            <v>0</v>
          </cell>
          <cell r="I694">
            <v>300</v>
          </cell>
          <cell r="J694">
            <v>0</v>
          </cell>
          <cell r="K694">
            <v>0</v>
          </cell>
          <cell r="L694">
            <v>0</v>
          </cell>
          <cell r="M694">
            <v>0</v>
          </cell>
          <cell r="N694">
            <v>0</v>
          </cell>
        </row>
        <row r="695">
          <cell r="A695" t="str">
            <v>5100</v>
          </cell>
          <cell r="B695" t="str">
            <v>015201261</v>
          </cell>
          <cell r="C695">
            <v>0</v>
          </cell>
          <cell r="D695">
            <v>200</v>
          </cell>
          <cell r="E695">
            <v>0</v>
          </cell>
          <cell r="F695">
            <v>0</v>
          </cell>
          <cell r="G695">
            <v>0</v>
          </cell>
          <cell r="H695">
            <v>0</v>
          </cell>
          <cell r="I695">
            <v>200</v>
          </cell>
          <cell r="J695">
            <v>0</v>
          </cell>
          <cell r="K695">
            <v>0</v>
          </cell>
          <cell r="L695">
            <v>0</v>
          </cell>
          <cell r="M695">
            <v>0</v>
          </cell>
          <cell r="N695">
            <v>0</v>
          </cell>
        </row>
        <row r="696">
          <cell r="A696" t="str">
            <v>5100</v>
          </cell>
          <cell r="B696" t="str">
            <v>015201281</v>
          </cell>
          <cell r="C696">
            <v>0</v>
          </cell>
          <cell r="D696">
            <v>200</v>
          </cell>
          <cell r="E696">
            <v>0</v>
          </cell>
          <cell r="F696">
            <v>0</v>
          </cell>
          <cell r="G696">
            <v>0</v>
          </cell>
          <cell r="H696">
            <v>0</v>
          </cell>
          <cell r="I696">
            <v>200</v>
          </cell>
          <cell r="J696">
            <v>0</v>
          </cell>
          <cell r="K696">
            <v>0</v>
          </cell>
          <cell r="L696">
            <v>0</v>
          </cell>
          <cell r="M696">
            <v>0</v>
          </cell>
          <cell r="N696">
            <v>0</v>
          </cell>
        </row>
        <row r="697">
          <cell r="A697" t="str">
            <v>5100</v>
          </cell>
          <cell r="B697" t="str">
            <v>015201441</v>
          </cell>
          <cell r="C697">
            <v>0</v>
          </cell>
          <cell r="D697">
            <v>4000</v>
          </cell>
          <cell r="E697">
            <v>0</v>
          </cell>
          <cell r="F697">
            <v>0</v>
          </cell>
          <cell r="G697">
            <v>0</v>
          </cell>
          <cell r="H697">
            <v>0</v>
          </cell>
          <cell r="I697">
            <v>4000</v>
          </cell>
          <cell r="J697">
            <v>0</v>
          </cell>
          <cell r="K697">
            <v>0</v>
          </cell>
          <cell r="L697">
            <v>0</v>
          </cell>
          <cell r="M697">
            <v>0</v>
          </cell>
          <cell r="N697">
            <v>0</v>
          </cell>
        </row>
        <row r="698">
          <cell r="A698" t="str">
            <v>5100</v>
          </cell>
          <cell r="B698" t="str">
            <v>015201460</v>
          </cell>
          <cell r="C698">
            <v>0</v>
          </cell>
          <cell r="D698">
            <v>200</v>
          </cell>
          <cell r="E698">
            <v>0</v>
          </cell>
          <cell r="F698">
            <v>0</v>
          </cell>
          <cell r="G698">
            <v>0</v>
          </cell>
          <cell r="H698">
            <v>0</v>
          </cell>
          <cell r="I698">
            <v>200</v>
          </cell>
          <cell r="J698">
            <v>0</v>
          </cell>
          <cell r="K698">
            <v>0</v>
          </cell>
          <cell r="L698">
            <v>0</v>
          </cell>
          <cell r="M698">
            <v>0</v>
          </cell>
          <cell r="N698">
            <v>0</v>
          </cell>
        </row>
        <row r="699">
          <cell r="A699" t="str">
            <v>5100</v>
          </cell>
          <cell r="B699" t="str">
            <v>015201850</v>
          </cell>
          <cell r="C699">
            <v>0</v>
          </cell>
          <cell r="D699">
            <v>500</v>
          </cell>
          <cell r="E699">
            <v>0</v>
          </cell>
          <cell r="F699">
            <v>0</v>
          </cell>
          <cell r="G699">
            <v>0</v>
          </cell>
          <cell r="H699">
            <v>0</v>
          </cell>
          <cell r="I699">
            <v>500</v>
          </cell>
          <cell r="J699">
            <v>0</v>
          </cell>
          <cell r="K699">
            <v>0</v>
          </cell>
          <cell r="L699">
            <v>0</v>
          </cell>
          <cell r="M699">
            <v>0</v>
          </cell>
          <cell r="N699">
            <v>0</v>
          </cell>
        </row>
        <row r="700">
          <cell r="A700" t="str">
            <v>5100</v>
          </cell>
          <cell r="B700" t="str">
            <v>015202051</v>
          </cell>
          <cell r="C700">
            <v>0</v>
          </cell>
          <cell r="D700">
            <v>300</v>
          </cell>
          <cell r="E700">
            <v>0</v>
          </cell>
          <cell r="F700">
            <v>0</v>
          </cell>
          <cell r="G700">
            <v>0</v>
          </cell>
          <cell r="H700">
            <v>0</v>
          </cell>
          <cell r="I700">
            <v>300</v>
          </cell>
          <cell r="J700">
            <v>0</v>
          </cell>
          <cell r="K700">
            <v>0</v>
          </cell>
          <cell r="L700">
            <v>0</v>
          </cell>
          <cell r="M700">
            <v>0</v>
          </cell>
          <cell r="N700">
            <v>0</v>
          </cell>
        </row>
        <row r="701">
          <cell r="A701" t="str">
            <v>5100</v>
          </cell>
          <cell r="B701" t="str">
            <v>015202061</v>
          </cell>
          <cell r="C701">
            <v>0</v>
          </cell>
          <cell r="D701">
            <v>300</v>
          </cell>
          <cell r="E701">
            <v>0</v>
          </cell>
          <cell r="F701">
            <v>0</v>
          </cell>
          <cell r="G701">
            <v>0</v>
          </cell>
          <cell r="H701">
            <v>0</v>
          </cell>
          <cell r="I701">
            <v>300</v>
          </cell>
          <cell r="J701">
            <v>0</v>
          </cell>
          <cell r="K701">
            <v>0</v>
          </cell>
          <cell r="L701">
            <v>0</v>
          </cell>
          <cell r="M701">
            <v>0</v>
          </cell>
          <cell r="N701">
            <v>0</v>
          </cell>
        </row>
        <row r="702">
          <cell r="A702" t="str">
            <v>5100</v>
          </cell>
          <cell r="B702" t="str">
            <v>015202143</v>
          </cell>
          <cell r="C702">
            <v>0</v>
          </cell>
          <cell r="D702">
            <v>4000</v>
          </cell>
          <cell r="E702">
            <v>4000</v>
          </cell>
          <cell r="F702">
            <v>0</v>
          </cell>
          <cell r="G702">
            <v>0</v>
          </cell>
          <cell r="H702">
            <v>0</v>
          </cell>
          <cell r="I702">
            <v>4000</v>
          </cell>
          <cell r="J702">
            <v>0</v>
          </cell>
          <cell r="K702">
            <v>0</v>
          </cell>
          <cell r="L702">
            <v>4000</v>
          </cell>
          <cell r="M702">
            <v>0</v>
          </cell>
          <cell r="N702">
            <v>0</v>
          </cell>
        </row>
        <row r="703">
          <cell r="A703" t="str">
            <v>5100</v>
          </cell>
          <cell r="B703" t="str">
            <v>015202191</v>
          </cell>
          <cell r="C703">
            <v>0</v>
          </cell>
          <cell r="D703">
            <v>2000</v>
          </cell>
          <cell r="E703">
            <v>0</v>
          </cell>
          <cell r="F703">
            <v>0</v>
          </cell>
          <cell r="G703">
            <v>0</v>
          </cell>
          <cell r="H703">
            <v>0</v>
          </cell>
          <cell r="I703">
            <v>0</v>
          </cell>
          <cell r="J703">
            <v>0</v>
          </cell>
          <cell r="K703">
            <v>2000</v>
          </cell>
          <cell r="L703">
            <v>0</v>
          </cell>
          <cell r="M703">
            <v>0</v>
          </cell>
          <cell r="N703">
            <v>0</v>
          </cell>
        </row>
        <row r="704">
          <cell r="A704" t="str">
            <v>5100</v>
          </cell>
          <cell r="B704" t="str">
            <v>015202221</v>
          </cell>
          <cell r="C704">
            <v>0</v>
          </cell>
          <cell r="D704">
            <v>1000</v>
          </cell>
          <cell r="E704">
            <v>0</v>
          </cell>
          <cell r="F704">
            <v>0</v>
          </cell>
          <cell r="G704">
            <v>0</v>
          </cell>
          <cell r="H704">
            <v>0</v>
          </cell>
          <cell r="I704">
            <v>1000</v>
          </cell>
          <cell r="J704">
            <v>0</v>
          </cell>
          <cell r="K704">
            <v>0</v>
          </cell>
          <cell r="L704">
            <v>0</v>
          </cell>
          <cell r="M704">
            <v>0</v>
          </cell>
          <cell r="N704">
            <v>0</v>
          </cell>
        </row>
        <row r="705">
          <cell r="A705" t="str">
            <v>5100</v>
          </cell>
          <cell r="B705" t="str">
            <v>015202292</v>
          </cell>
          <cell r="C705">
            <v>0</v>
          </cell>
          <cell r="D705">
            <v>4000</v>
          </cell>
          <cell r="E705">
            <v>0</v>
          </cell>
          <cell r="F705">
            <v>0</v>
          </cell>
          <cell r="G705">
            <v>0</v>
          </cell>
          <cell r="H705">
            <v>0</v>
          </cell>
          <cell r="I705">
            <v>4000</v>
          </cell>
          <cell r="J705">
            <v>0</v>
          </cell>
          <cell r="K705">
            <v>0</v>
          </cell>
          <cell r="L705">
            <v>0</v>
          </cell>
          <cell r="M705">
            <v>0</v>
          </cell>
          <cell r="N705">
            <v>0</v>
          </cell>
        </row>
        <row r="706">
          <cell r="A706" t="str">
            <v>5100</v>
          </cell>
          <cell r="B706" t="str">
            <v>015202352</v>
          </cell>
          <cell r="C706">
            <v>0</v>
          </cell>
          <cell r="D706">
            <v>8000</v>
          </cell>
          <cell r="E706">
            <v>8000</v>
          </cell>
          <cell r="F706">
            <v>0</v>
          </cell>
          <cell r="G706">
            <v>0</v>
          </cell>
          <cell r="H706">
            <v>0</v>
          </cell>
          <cell r="I706">
            <v>8000</v>
          </cell>
          <cell r="J706">
            <v>0</v>
          </cell>
          <cell r="K706">
            <v>0</v>
          </cell>
          <cell r="L706">
            <v>8000</v>
          </cell>
          <cell r="M706">
            <v>0</v>
          </cell>
          <cell r="N706">
            <v>0</v>
          </cell>
        </row>
        <row r="707">
          <cell r="A707" t="str">
            <v>5100</v>
          </cell>
          <cell r="B707" t="str">
            <v>015202372</v>
          </cell>
          <cell r="C707">
            <v>0</v>
          </cell>
          <cell r="D707">
            <v>600</v>
          </cell>
          <cell r="E707">
            <v>0</v>
          </cell>
          <cell r="F707">
            <v>0</v>
          </cell>
          <cell r="G707">
            <v>0</v>
          </cell>
          <cell r="H707">
            <v>0</v>
          </cell>
          <cell r="I707">
            <v>600</v>
          </cell>
          <cell r="J707">
            <v>0</v>
          </cell>
          <cell r="K707">
            <v>0</v>
          </cell>
          <cell r="L707">
            <v>0</v>
          </cell>
          <cell r="M707">
            <v>0</v>
          </cell>
          <cell r="N707">
            <v>0</v>
          </cell>
        </row>
        <row r="708">
          <cell r="A708" t="str">
            <v>5100</v>
          </cell>
          <cell r="B708" t="str">
            <v>015202391</v>
          </cell>
          <cell r="C708">
            <v>0</v>
          </cell>
          <cell r="D708">
            <v>2000</v>
          </cell>
          <cell r="E708">
            <v>0</v>
          </cell>
          <cell r="F708">
            <v>0</v>
          </cell>
          <cell r="G708">
            <v>0</v>
          </cell>
          <cell r="H708">
            <v>0</v>
          </cell>
          <cell r="I708">
            <v>2000</v>
          </cell>
          <cell r="J708">
            <v>0</v>
          </cell>
          <cell r="K708">
            <v>0</v>
          </cell>
          <cell r="L708">
            <v>0</v>
          </cell>
          <cell r="M708">
            <v>0</v>
          </cell>
          <cell r="N708">
            <v>0</v>
          </cell>
        </row>
        <row r="709">
          <cell r="A709" t="str">
            <v>5100</v>
          </cell>
          <cell r="B709" t="str">
            <v>015202441</v>
          </cell>
          <cell r="C709">
            <v>0</v>
          </cell>
          <cell r="D709">
            <v>2000</v>
          </cell>
          <cell r="E709">
            <v>2000</v>
          </cell>
          <cell r="F709">
            <v>0</v>
          </cell>
          <cell r="G709">
            <v>0</v>
          </cell>
          <cell r="H709">
            <v>0</v>
          </cell>
          <cell r="I709">
            <v>2000</v>
          </cell>
          <cell r="J709">
            <v>0</v>
          </cell>
          <cell r="K709">
            <v>0</v>
          </cell>
          <cell r="L709">
            <v>2000</v>
          </cell>
          <cell r="M709">
            <v>0</v>
          </cell>
          <cell r="N709">
            <v>0</v>
          </cell>
        </row>
        <row r="710">
          <cell r="A710" t="str">
            <v>5100</v>
          </cell>
          <cell r="B710" t="str">
            <v>015202451</v>
          </cell>
          <cell r="C710">
            <v>0</v>
          </cell>
          <cell r="D710">
            <v>300</v>
          </cell>
          <cell r="E710">
            <v>0</v>
          </cell>
          <cell r="F710">
            <v>0</v>
          </cell>
          <cell r="G710">
            <v>0</v>
          </cell>
          <cell r="H710">
            <v>0</v>
          </cell>
          <cell r="I710">
            <v>300</v>
          </cell>
          <cell r="J710">
            <v>0</v>
          </cell>
          <cell r="K710">
            <v>0</v>
          </cell>
          <cell r="L710">
            <v>0</v>
          </cell>
          <cell r="M710">
            <v>0</v>
          </cell>
          <cell r="N710">
            <v>0</v>
          </cell>
        </row>
        <row r="711">
          <cell r="A711" t="str">
            <v>5100</v>
          </cell>
          <cell r="B711" t="str">
            <v>015202601</v>
          </cell>
          <cell r="C711">
            <v>0</v>
          </cell>
          <cell r="D711">
            <v>4000</v>
          </cell>
          <cell r="E711">
            <v>4000</v>
          </cell>
          <cell r="F711">
            <v>0</v>
          </cell>
          <cell r="G711">
            <v>0</v>
          </cell>
          <cell r="H711">
            <v>0</v>
          </cell>
          <cell r="I711">
            <v>4000</v>
          </cell>
          <cell r="J711">
            <v>0</v>
          </cell>
          <cell r="K711">
            <v>0</v>
          </cell>
          <cell r="L711">
            <v>4000</v>
          </cell>
          <cell r="M711">
            <v>0</v>
          </cell>
          <cell r="N711">
            <v>0</v>
          </cell>
        </row>
        <row r="712">
          <cell r="A712" t="str">
            <v>5100</v>
          </cell>
          <cell r="B712" t="str">
            <v>015202640</v>
          </cell>
          <cell r="C712">
            <v>0</v>
          </cell>
          <cell r="D712">
            <v>2000</v>
          </cell>
          <cell r="E712">
            <v>0</v>
          </cell>
          <cell r="F712">
            <v>0</v>
          </cell>
          <cell r="G712">
            <v>0</v>
          </cell>
          <cell r="H712">
            <v>0</v>
          </cell>
          <cell r="I712">
            <v>2000</v>
          </cell>
          <cell r="J712">
            <v>0</v>
          </cell>
          <cell r="K712">
            <v>0</v>
          </cell>
          <cell r="L712">
            <v>0</v>
          </cell>
          <cell r="M712">
            <v>0</v>
          </cell>
          <cell r="N712">
            <v>0</v>
          </cell>
        </row>
        <row r="713">
          <cell r="A713" t="str">
            <v>5100</v>
          </cell>
          <cell r="B713" t="str">
            <v>015202670</v>
          </cell>
          <cell r="C713">
            <v>0</v>
          </cell>
          <cell r="D713">
            <v>2000</v>
          </cell>
          <cell r="E713">
            <v>0</v>
          </cell>
          <cell r="F713">
            <v>0</v>
          </cell>
          <cell r="G713">
            <v>0</v>
          </cell>
          <cell r="H713">
            <v>0</v>
          </cell>
          <cell r="I713">
            <v>2000</v>
          </cell>
          <cell r="J713">
            <v>0</v>
          </cell>
          <cell r="K713">
            <v>0</v>
          </cell>
          <cell r="L713">
            <v>0</v>
          </cell>
          <cell r="M713">
            <v>0</v>
          </cell>
          <cell r="N713">
            <v>0</v>
          </cell>
        </row>
        <row r="714">
          <cell r="A714" t="str">
            <v>5100</v>
          </cell>
          <cell r="B714" t="str">
            <v>015202701</v>
          </cell>
          <cell r="C714">
            <v>0</v>
          </cell>
          <cell r="D714">
            <v>2000</v>
          </cell>
          <cell r="E714">
            <v>0</v>
          </cell>
          <cell r="F714">
            <v>0</v>
          </cell>
          <cell r="G714">
            <v>0</v>
          </cell>
          <cell r="H714">
            <v>0</v>
          </cell>
          <cell r="I714">
            <v>2000</v>
          </cell>
          <cell r="J714">
            <v>0</v>
          </cell>
          <cell r="K714">
            <v>0</v>
          </cell>
          <cell r="L714">
            <v>0</v>
          </cell>
          <cell r="M714">
            <v>0</v>
          </cell>
          <cell r="N714">
            <v>0</v>
          </cell>
        </row>
        <row r="715">
          <cell r="A715" t="str">
            <v>5100</v>
          </cell>
          <cell r="B715" t="str">
            <v>015202730</v>
          </cell>
          <cell r="C715">
            <v>0</v>
          </cell>
          <cell r="D715">
            <v>1000</v>
          </cell>
          <cell r="E715">
            <v>0</v>
          </cell>
          <cell r="F715">
            <v>0</v>
          </cell>
          <cell r="G715">
            <v>0</v>
          </cell>
          <cell r="H715">
            <v>0</v>
          </cell>
          <cell r="I715">
            <v>1000</v>
          </cell>
          <cell r="J715">
            <v>0</v>
          </cell>
          <cell r="K715">
            <v>0</v>
          </cell>
          <cell r="L715">
            <v>0</v>
          </cell>
          <cell r="M715">
            <v>0</v>
          </cell>
          <cell r="N715">
            <v>0</v>
          </cell>
        </row>
        <row r="716">
          <cell r="A716" t="str">
            <v>5100</v>
          </cell>
          <cell r="B716" t="str">
            <v>015202740</v>
          </cell>
          <cell r="C716">
            <v>0</v>
          </cell>
          <cell r="D716">
            <v>1000</v>
          </cell>
          <cell r="E716">
            <v>0</v>
          </cell>
          <cell r="F716">
            <v>0</v>
          </cell>
          <cell r="G716">
            <v>0</v>
          </cell>
          <cell r="H716">
            <v>0</v>
          </cell>
          <cell r="I716">
            <v>1000</v>
          </cell>
          <cell r="J716">
            <v>0</v>
          </cell>
          <cell r="K716">
            <v>0</v>
          </cell>
          <cell r="L716">
            <v>0</v>
          </cell>
          <cell r="M716">
            <v>0</v>
          </cell>
          <cell r="N716">
            <v>0</v>
          </cell>
        </row>
        <row r="717">
          <cell r="A717" t="str">
            <v>5100</v>
          </cell>
          <cell r="B717" t="str">
            <v>015202750</v>
          </cell>
          <cell r="C717">
            <v>0</v>
          </cell>
          <cell r="D717">
            <v>8000</v>
          </cell>
          <cell r="E717">
            <v>8000</v>
          </cell>
          <cell r="F717">
            <v>0</v>
          </cell>
          <cell r="G717">
            <v>0</v>
          </cell>
          <cell r="H717">
            <v>0</v>
          </cell>
          <cell r="I717">
            <v>8000</v>
          </cell>
          <cell r="J717">
            <v>0</v>
          </cell>
          <cell r="K717">
            <v>0</v>
          </cell>
          <cell r="L717">
            <v>8000</v>
          </cell>
          <cell r="M717">
            <v>0</v>
          </cell>
          <cell r="N717">
            <v>0</v>
          </cell>
        </row>
        <row r="718">
          <cell r="A718" t="str">
            <v>5100</v>
          </cell>
          <cell r="B718" t="str">
            <v>015202890</v>
          </cell>
          <cell r="C718">
            <v>0</v>
          </cell>
          <cell r="D718">
            <v>1000</v>
          </cell>
          <cell r="E718">
            <v>0</v>
          </cell>
          <cell r="F718">
            <v>0</v>
          </cell>
          <cell r="G718">
            <v>0</v>
          </cell>
          <cell r="H718">
            <v>0</v>
          </cell>
          <cell r="I718">
            <v>1000</v>
          </cell>
          <cell r="J718">
            <v>0</v>
          </cell>
          <cell r="K718">
            <v>0</v>
          </cell>
          <cell r="L718">
            <v>0</v>
          </cell>
          <cell r="M718">
            <v>0</v>
          </cell>
          <cell r="N718">
            <v>0</v>
          </cell>
        </row>
        <row r="719">
          <cell r="A719" t="str">
            <v>5100</v>
          </cell>
          <cell r="B719" t="str">
            <v>015202900</v>
          </cell>
          <cell r="C719">
            <v>0</v>
          </cell>
          <cell r="D719">
            <v>1000</v>
          </cell>
          <cell r="E719">
            <v>0</v>
          </cell>
          <cell r="F719">
            <v>0</v>
          </cell>
          <cell r="G719">
            <v>0</v>
          </cell>
          <cell r="H719">
            <v>0</v>
          </cell>
          <cell r="I719">
            <v>1000</v>
          </cell>
          <cell r="J719">
            <v>0</v>
          </cell>
          <cell r="K719">
            <v>0</v>
          </cell>
          <cell r="L719">
            <v>0</v>
          </cell>
          <cell r="M719">
            <v>0</v>
          </cell>
          <cell r="N719">
            <v>0</v>
          </cell>
        </row>
        <row r="720">
          <cell r="A720" t="str">
            <v>5100</v>
          </cell>
          <cell r="B720" t="str">
            <v>015202910</v>
          </cell>
          <cell r="C720">
            <v>0</v>
          </cell>
          <cell r="D720">
            <v>2000</v>
          </cell>
          <cell r="E720">
            <v>0</v>
          </cell>
          <cell r="F720">
            <v>0</v>
          </cell>
          <cell r="G720">
            <v>0</v>
          </cell>
          <cell r="H720">
            <v>0</v>
          </cell>
          <cell r="I720">
            <v>2000</v>
          </cell>
          <cell r="J720">
            <v>0</v>
          </cell>
          <cell r="K720">
            <v>0</v>
          </cell>
          <cell r="L720">
            <v>0</v>
          </cell>
          <cell r="M720">
            <v>0</v>
          </cell>
          <cell r="N720">
            <v>0</v>
          </cell>
        </row>
        <row r="721">
          <cell r="A721" t="str">
            <v>5100</v>
          </cell>
          <cell r="B721" t="str">
            <v>015202951</v>
          </cell>
          <cell r="C721">
            <v>0</v>
          </cell>
          <cell r="D721">
            <v>300</v>
          </cell>
          <cell r="E721">
            <v>0</v>
          </cell>
          <cell r="F721">
            <v>0</v>
          </cell>
          <cell r="G721">
            <v>0</v>
          </cell>
          <cell r="H721">
            <v>0</v>
          </cell>
          <cell r="I721">
            <v>300</v>
          </cell>
          <cell r="J721">
            <v>0</v>
          </cell>
          <cell r="K721">
            <v>0</v>
          </cell>
          <cell r="L721">
            <v>0</v>
          </cell>
          <cell r="M721">
            <v>0</v>
          </cell>
          <cell r="N721">
            <v>0</v>
          </cell>
        </row>
        <row r="722">
          <cell r="A722" t="str">
            <v>5100</v>
          </cell>
          <cell r="B722" t="str">
            <v>015500372</v>
          </cell>
          <cell r="C722">
            <v>0</v>
          </cell>
          <cell r="D722">
            <v>300</v>
          </cell>
          <cell r="E722">
            <v>0</v>
          </cell>
          <cell r="F722">
            <v>0</v>
          </cell>
          <cell r="G722">
            <v>0</v>
          </cell>
          <cell r="H722">
            <v>0</v>
          </cell>
          <cell r="I722">
            <v>300</v>
          </cell>
          <cell r="J722">
            <v>0</v>
          </cell>
          <cell r="K722">
            <v>0</v>
          </cell>
          <cell r="L722">
            <v>0</v>
          </cell>
          <cell r="M722">
            <v>0</v>
          </cell>
          <cell r="N722">
            <v>0</v>
          </cell>
        </row>
        <row r="723">
          <cell r="A723" t="str">
            <v>5100</v>
          </cell>
          <cell r="B723" t="str">
            <v>015500660</v>
          </cell>
          <cell r="C723">
            <v>0</v>
          </cell>
          <cell r="D723">
            <v>300</v>
          </cell>
          <cell r="E723">
            <v>0</v>
          </cell>
          <cell r="F723">
            <v>0</v>
          </cell>
          <cell r="G723">
            <v>0</v>
          </cell>
          <cell r="H723">
            <v>0</v>
          </cell>
          <cell r="I723">
            <v>300</v>
          </cell>
          <cell r="J723">
            <v>0</v>
          </cell>
          <cell r="K723">
            <v>0</v>
          </cell>
          <cell r="L723">
            <v>0</v>
          </cell>
          <cell r="M723">
            <v>0</v>
          </cell>
          <cell r="N723">
            <v>0</v>
          </cell>
        </row>
        <row r="724">
          <cell r="A724" t="str">
            <v>5100</v>
          </cell>
          <cell r="B724" t="str">
            <v>015501011</v>
          </cell>
          <cell r="C724">
            <v>0</v>
          </cell>
          <cell r="D724">
            <v>1000</v>
          </cell>
          <cell r="E724">
            <v>0</v>
          </cell>
          <cell r="F724">
            <v>0</v>
          </cell>
          <cell r="G724">
            <v>0</v>
          </cell>
          <cell r="H724">
            <v>0</v>
          </cell>
          <cell r="I724">
            <v>0</v>
          </cell>
          <cell r="J724">
            <v>0</v>
          </cell>
          <cell r="K724">
            <v>1000</v>
          </cell>
          <cell r="L724">
            <v>0</v>
          </cell>
          <cell r="M724">
            <v>0</v>
          </cell>
          <cell r="N724">
            <v>0</v>
          </cell>
        </row>
        <row r="725">
          <cell r="A725" t="str">
            <v>5100</v>
          </cell>
          <cell r="B725" t="str">
            <v>015501022</v>
          </cell>
          <cell r="C725">
            <v>0</v>
          </cell>
          <cell r="D725">
            <v>1000</v>
          </cell>
          <cell r="E725">
            <v>0</v>
          </cell>
          <cell r="F725">
            <v>0</v>
          </cell>
          <cell r="G725">
            <v>0</v>
          </cell>
          <cell r="H725">
            <v>0</v>
          </cell>
          <cell r="I725">
            <v>0</v>
          </cell>
          <cell r="J725">
            <v>1000</v>
          </cell>
          <cell r="K725">
            <v>0</v>
          </cell>
          <cell r="L725">
            <v>0</v>
          </cell>
          <cell r="M725">
            <v>0</v>
          </cell>
          <cell r="N725">
            <v>0</v>
          </cell>
        </row>
        <row r="726">
          <cell r="A726" t="str">
            <v>5100</v>
          </cell>
          <cell r="B726" t="str">
            <v>015501341</v>
          </cell>
          <cell r="C726">
            <v>0</v>
          </cell>
          <cell r="D726">
            <v>1000</v>
          </cell>
          <cell r="E726">
            <v>0</v>
          </cell>
          <cell r="F726">
            <v>0</v>
          </cell>
          <cell r="G726">
            <v>0</v>
          </cell>
          <cell r="H726">
            <v>0</v>
          </cell>
          <cell r="I726">
            <v>0</v>
          </cell>
          <cell r="J726">
            <v>0</v>
          </cell>
          <cell r="K726">
            <v>1000</v>
          </cell>
          <cell r="L726">
            <v>0</v>
          </cell>
          <cell r="M726">
            <v>0</v>
          </cell>
          <cell r="N726">
            <v>0</v>
          </cell>
        </row>
        <row r="727">
          <cell r="A727" t="str">
            <v>5100</v>
          </cell>
          <cell r="B727" t="str">
            <v>015501861</v>
          </cell>
          <cell r="C727">
            <v>0</v>
          </cell>
          <cell r="D727">
            <v>500</v>
          </cell>
          <cell r="E727">
            <v>0</v>
          </cell>
          <cell r="F727">
            <v>0</v>
          </cell>
          <cell r="G727">
            <v>0</v>
          </cell>
          <cell r="H727">
            <v>0</v>
          </cell>
          <cell r="I727">
            <v>0</v>
          </cell>
          <cell r="J727">
            <v>500</v>
          </cell>
          <cell r="K727">
            <v>0</v>
          </cell>
          <cell r="L727">
            <v>0</v>
          </cell>
          <cell r="M727">
            <v>0</v>
          </cell>
          <cell r="N727">
            <v>0</v>
          </cell>
        </row>
        <row r="728">
          <cell r="A728" t="str">
            <v>5100</v>
          </cell>
          <cell r="B728" t="str">
            <v>015502081</v>
          </cell>
          <cell r="C728">
            <v>0</v>
          </cell>
          <cell r="D728">
            <v>1000</v>
          </cell>
          <cell r="E728">
            <v>0</v>
          </cell>
          <cell r="F728">
            <v>0</v>
          </cell>
          <cell r="G728">
            <v>0</v>
          </cell>
          <cell r="H728">
            <v>0</v>
          </cell>
          <cell r="I728">
            <v>1000</v>
          </cell>
          <cell r="J728">
            <v>0</v>
          </cell>
          <cell r="K728">
            <v>0</v>
          </cell>
          <cell r="L728">
            <v>0</v>
          </cell>
          <cell r="M728">
            <v>0</v>
          </cell>
          <cell r="N728">
            <v>0</v>
          </cell>
        </row>
        <row r="729">
          <cell r="A729" t="str">
            <v>5100</v>
          </cell>
          <cell r="B729" t="str">
            <v>015502093</v>
          </cell>
          <cell r="C729">
            <v>0</v>
          </cell>
          <cell r="D729">
            <v>700</v>
          </cell>
          <cell r="E729">
            <v>0</v>
          </cell>
          <cell r="F729">
            <v>0</v>
          </cell>
          <cell r="G729">
            <v>0</v>
          </cell>
          <cell r="H729">
            <v>0</v>
          </cell>
          <cell r="I729">
            <v>700</v>
          </cell>
          <cell r="J729">
            <v>0</v>
          </cell>
          <cell r="K729">
            <v>0</v>
          </cell>
          <cell r="L729">
            <v>0</v>
          </cell>
          <cell r="M729">
            <v>0</v>
          </cell>
          <cell r="N729">
            <v>0</v>
          </cell>
        </row>
        <row r="730">
          <cell r="A730" t="str">
            <v>5100</v>
          </cell>
          <cell r="B730" t="str">
            <v>015502133</v>
          </cell>
          <cell r="C730">
            <v>0</v>
          </cell>
          <cell r="D730">
            <v>300</v>
          </cell>
          <cell r="E730">
            <v>0</v>
          </cell>
          <cell r="F730">
            <v>0</v>
          </cell>
          <cell r="G730">
            <v>0</v>
          </cell>
          <cell r="H730">
            <v>0</v>
          </cell>
          <cell r="I730">
            <v>300</v>
          </cell>
          <cell r="J730">
            <v>0</v>
          </cell>
          <cell r="K730">
            <v>0</v>
          </cell>
          <cell r="L730">
            <v>0</v>
          </cell>
          <cell r="M730">
            <v>0</v>
          </cell>
          <cell r="N730">
            <v>0</v>
          </cell>
        </row>
        <row r="731">
          <cell r="A731" t="str">
            <v>5100</v>
          </cell>
          <cell r="B731" t="str">
            <v>015502360</v>
          </cell>
          <cell r="C731">
            <v>0</v>
          </cell>
          <cell r="D731">
            <v>500</v>
          </cell>
          <cell r="E731">
            <v>0</v>
          </cell>
          <cell r="F731">
            <v>0</v>
          </cell>
          <cell r="G731">
            <v>0</v>
          </cell>
          <cell r="H731">
            <v>0</v>
          </cell>
          <cell r="I731">
            <v>500</v>
          </cell>
          <cell r="J731">
            <v>0</v>
          </cell>
          <cell r="K731">
            <v>0</v>
          </cell>
          <cell r="L731">
            <v>0</v>
          </cell>
          <cell r="M731">
            <v>0</v>
          </cell>
          <cell r="N731">
            <v>0</v>
          </cell>
        </row>
        <row r="732">
          <cell r="A732" t="str">
            <v>5100</v>
          </cell>
          <cell r="B732" t="str">
            <v>015502520</v>
          </cell>
          <cell r="C732">
            <v>0</v>
          </cell>
          <cell r="D732">
            <v>400</v>
          </cell>
          <cell r="E732">
            <v>0</v>
          </cell>
          <cell r="F732">
            <v>0</v>
          </cell>
          <cell r="G732">
            <v>0</v>
          </cell>
          <cell r="H732">
            <v>0</v>
          </cell>
          <cell r="I732">
            <v>400</v>
          </cell>
          <cell r="J732">
            <v>0</v>
          </cell>
          <cell r="K732">
            <v>0</v>
          </cell>
          <cell r="L732">
            <v>0</v>
          </cell>
          <cell r="M732">
            <v>0</v>
          </cell>
          <cell r="N732">
            <v>0</v>
          </cell>
        </row>
        <row r="733">
          <cell r="A733" t="str">
            <v>5100</v>
          </cell>
          <cell r="B733" t="str">
            <v>015502530</v>
          </cell>
          <cell r="C733">
            <v>0</v>
          </cell>
          <cell r="D733">
            <v>500</v>
          </cell>
          <cell r="E733">
            <v>0</v>
          </cell>
          <cell r="F733">
            <v>0</v>
          </cell>
          <cell r="G733">
            <v>0</v>
          </cell>
          <cell r="H733">
            <v>0</v>
          </cell>
          <cell r="I733">
            <v>500</v>
          </cell>
          <cell r="J733">
            <v>0</v>
          </cell>
          <cell r="K733">
            <v>0</v>
          </cell>
          <cell r="L733">
            <v>0</v>
          </cell>
          <cell r="M733">
            <v>0</v>
          </cell>
          <cell r="N733">
            <v>0</v>
          </cell>
        </row>
        <row r="734">
          <cell r="A734" t="str">
            <v>5100</v>
          </cell>
          <cell r="B734" t="str">
            <v>015502761</v>
          </cell>
          <cell r="C734">
            <v>0</v>
          </cell>
          <cell r="D734">
            <v>600</v>
          </cell>
          <cell r="E734">
            <v>0</v>
          </cell>
          <cell r="F734">
            <v>0</v>
          </cell>
          <cell r="G734">
            <v>0</v>
          </cell>
          <cell r="H734">
            <v>0</v>
          </cell>
          <cell r="I734">
            <v>600</v>
          </cell>
          <cell r="J734">
            <v>0</v>
          </cell>
          <cell r="K734">
            <v>0</v>
          </cell>
          <cell r="L734">
            <v>0</v>
          </cell>
          <cell r="M734">
            <v>0</v>
          </cell>
          <cell r="N734">
            <v>0</v>
          </cell>
        </row>
        <row r="735">
          <cell r="A735" t="str">
            <v>9410</v>
          </cell>
          <cell r="B735" t="str">
            <v>010601630</v>
          </cell>
          <cell r="C735">
            <v>0</v>
          </cell>
          <cell r="D735">
            <v>1200</v>
          </cell>
          <cell r="E735">
            <v>0</v>
          </cell>
          <cell r="F735">
            <v>0</v>
          </cell>
          <cell r="G735">
            <v>0</v>
          </cell>
          <cell r="H735">
            <v>0</v>
          </cell>
          <cell r="I735">
            <v>0</v>
          </cell>
          <cell r="J735">
            <v>0</v>
          </cell>
          <cell r="K735">
            <v>1200</v>
          </cell>
          <cell r="L735">
            <v>0</v>
          </cell>
          <cell r="M735">
            <v>0</v>
          </cell>
          <cell r="N735">
            <v>0</v>
          </cell>
        </row>
        <row r="736">
          <cell r="A736" t="str">
            <v>9410</v>
          </cell>
          <cell r="B736" t="str">
            <v>010601731</v>
          </cell>
          <cell r="C736">
            <v>0</v>
          </cell>
          <cell r="D736">
            <v>1200</v>
          </cell>
          <cell r="E736">
            <v>0</v>
          </cell>
          <cell r="F736">
            <v>0</v>
          </cell>
          <cell r="G736">
            <v>0</v>
          </cell>
          <cell r="H736">
            <v>0</v>
          </cell>
          <cell r="I736">
            <v>0</v>
          </cell>
          <cell r="J736">
            <v>0</v>
          </cell>
          <cell r="K736">
            <v>1200</v>
          </cell>
          <cell r="L736">
            <v>0</v>
          </cell>
          <cell r="M736">
            <v>0</v>
          </cell>
          <cell r="N736">
            <v>0</v>
          </cell>
        </row>
        <row r="737">
          <cell r="A737" t="str">
            <v>9410</v>
          </cell>
          <cell r="B737" t="str">
            <v>010602031</v>
          </cell>
          <cell r="C737">
            <v>0</v>
          </cell>
          <cell r="D737">
            <v>600</v>
          </cell>
          <cell r="E737">
            <v>0</v>
          </cell>
          <cell r="F737">
            <v>0</v>
          </cell>
          <cell r="G737">
            <v>0</v>
          </cell>
          <cell r="H737">
            <v>0</v>
          </cell>
          <cell r="I737">
            <v>0</v>
          </cell>
          <cell r="J737">
            <v>0</v>
          </cell>
          <cell r="K737">
            <v>600</v>
          </cell>
          <cell r="L737">
            <v>0</v>
          </cell>
          <cell r="M737">
            <v>0</v>
          </cell>
          <cell r="N737">
            <v>0</v>
          </cell>
        </row>
        <row r="738">
          <cell r="A738" t="str">
            <v>9410</v>
          </cell>
          <cell r="B738" t="str">
            <v>010602040</v>
          </cell>
          <cell r="C738">
            <v>0</v>
          </cell>
          <cell r="D738">
            <v>600</v>
          </cell>
          <cell r="E738">
            <v>0</v>
          </cell>
          <cell r="F738">
            <v>0</v>
          </cell>
          <cell r="G738">
            <v>0</v>
          </cell>
          <cell r="H738">
            <v>0</v>
          </cell>
          <cell r="I738">
            <v>0</v>
          </cell>
          <cell r="J738">
            <v>0</v>
          </cell>
          <cell r="K738">
            <v>600</v>
          </cell>
          <cell r="L738">
            <v>0</v>
          </cell>
          <cell r="M738">
            <v>0</v>
          </cell>
          <cell r="N738">
            <v>0</v>
          </cell>
        </row>
        <row r="739">
          <cell r="A739" t="str">
            <v>9410</v>
          </cell>
          <cell r="B739" t="str">
            <v>010602510</v>
          </cell>
          <cell r="C739">
            <v>0</v>
          </cell>
          <cell r="D739">
            <v>12000</v>
          </cell>
          <cell r="E739">
            <v>12000</v>
          </cell>
          <cell r="F739">
            <v>0</v>
          </cell>
          <cell r="G739">
            <v>0</v>
          </cell>
          <cell r="H739">
            <v>0</v>
          </cell>
          <cell r="I739">
            <v>12000</v>
          </cell>
          <cell r="J739">
            <v>0</v>
          </cell>
          <cell r="K739">
            <v>0</v>
          </cell>
          <cell r="L739">
            <v>12000</v>
          </cell>
          <cell r="M739">
            <v>0</v>
          </cell>
          <cell r="N739">
            <v>0</v>
          </cell>
        </row>
        <row r="740">
          <cell r="A740" t="str">
            <v>9410</v>
          </cell>
          <cell r="B740" t="str">
            <v>010700182</v>
          </cell>
          <cell r="C740">
            <v>0</v>
          </cell>
          <cell r="D740">
            <v>2000</v>
          </cell>
          <cell r="E740">
            <v>0</v>
          </cell>
          <cell r="F740">
            <v>0</v>
          </cell>
          <cell r="G740">
            <v>0</v>
          </cell>
          <cell r="H740">
            <v>0</v>
          </cell>
          <cell r="I740">
            <v>2000</v>
          </cell>
          <cell r="J740">
            <v>0</v>
          </cell>
          <cell r="K740">
            <v>0</v>
          </cell>
          <cell r="L740">
            <v>0</v>
          </cell>
          <cell r="M740">
            <v>0</v>
          </cell>
          <cell r="N740">
            <v>0</v>
          </cell>
        </row>
        <row r="741">
          <cell r="A741" t="str">
            <v>9410</v>
          </cell>
          <cell r="B741" t="str">
            <v>010700411</v>
          </cell>
          <cell r="C741">
            <v>0</v>
          </cell>
          <cell r="D741">
            <v>2000</v>
          </cell>
          <cell r="E741">
            <v>0</v>
          </cell>
          <cell r="F741">
            <v>0</v>
          </cell>
          <cell r="G741">
            <v>0</v>
          </cell>
          <cell r="H741">
            <v>0</v>
          </cell>
          <cell r="I741">
            <v>0</v>
          </cell>
          <cell r="J741">
            <v>0</v>
          </cell>
          <cell r="K741">
            <v>2000</v>
          </cell>
          <cell r="L741">
            <v>0</v>
          </cell>
          <cell r="M741">
            <v>0</v>
          </cell>
          <cell r="N741">
            <v>0</v>
          </cell>
        </row>
        <row r="742">
          <cell r="A742" t="str">
            <v>9410</v>
          </cell>
          <cell r="B742" t="str">
            <v>010700571</v>
          </cell>
          <cell r="C742">
            <v>0</v>
          </cell>
          <cell r="D742">
            <v>2000</v>
          </cell>
          <cell r="E742">
            <v>0</v>
          </cell>
          <cell r="F742">
            <v>0</v>
          </cell>
          <cell r="G742">
            <v>0</v>
          </cell>
          <cell r="H742">
            <v>0</v>
          </cell>
          <cell r="I742">
            <v>0</v>
          </cell>
          <cell r="J742">
            <v>0</v>
          </cell>
          <cell r="K742">
            <v>2000</v>
          </cell>
          <cell r="L742">
            <v>0</v>
          </cell>
          <cell r="M742">
            <v>0</v>
          </cell>
          <cell r="N742">
            <v>0</v>
          </cell>
        </row>
        <row r="743">
          <cell r="A743" t="str">
            <v>9410</v>
          </cell>
          <cell r="B743" t="str">
            <v>010700632</v>
          </cell>
          <cell r="C743">
            <v>0</v>
          </cell>
          <cell r="D743">
            <v>2400</v>
          </cell>
          <cell r="E743">
            <v>2400</v>
          </cell>
          <cell r="F743">
            <v>0</v>
          </cell>
          <cell r="G743">
            <v>0</v>
          </cell>
          <cell r="H743">
            <v>0</v>
          </cell>
          <cell r="I743">
            <v>2400</v>
          </cell>
          <cell r="J743">
            <v>0</v>
          </cell>
          <cell r="K743">
            <v>0</v>
          </cell>
          <cell r="L743">
            <v>2400</v>
          </cell>
          <cell r="M743">
            <v>0</v>
          </cell>
          <cell r="N743">
            <v>0</v>
          </cell>
        </row>
        <row r="744">
          <cell r="A744" t="str">
            <v>9410</v>
          </cell>
          <cell r="B744" t="str">
            <v>010700672</v>
          </cell>
          <cell r="C744">
            <v>0</v>
          </cell>
          <cell r="D744">
            <v>2400</v>
          </cell>
          <cell r="E744">
            <v>2400</v>
          </cell>
          <cell r="F744">
            <v>0</v>
          </cell>
          <cell r="G744">
            <v>0</v>
          </cell>
          <cell r="H744">
            <v>0</v>
          </cell>
          <cell r="I744">
            <v>2400</v>
          </cell>
          <cell r="J744">
            <v>0</v>
          </cell>
          <cell r="K744">
            <v>0</v>
          </cell>
          <cell r="L744">
            <v>2400</v>
          </cell>
          <cell r="M744">
            <v>0</v>
          </cell>
          <cell r="N744">
            <v>0</v>
          </cell>
        </row>
        <row r="745">
          <cell r="A745" t="str">
            <v>9410</v>
          </cell>
          <cell r="B745" t="str">
            <v>011302171</v>
          </cell>
          <cell r="C745">
            <v>0</v>
          </cell>
          <cell r="D745">
            <v>600</v>
          </cell>
          <cell r="E745">
            <v>0</v>
          </cell>
          <cell r="F745">
            <v>0</v>
          </cell>
          <cell r="G745">
            <v>0</v>
          </cell>
          <cell r="H745">
            <v>0</v>
          </cell>
          <cell r="I745">
            <v>0</v>
          </cell>
          <cell r="J745">
            <v>600</v>
          </cell>
          <cell r="K745">
            <v>0</v>
          </cell>
          <cell r="L745">
            <v>0</v>
          </cell>
          <cell r="M745">
            <v>0</v>
          </cell>
          <cell r="N745">
            <v>0</v>
          </cell>
        </row>
        <row r="746">
          <cell r="A746" t="str">
            <v>9410</v>
          </cell>
          <cell r="B746" t="str">
            <v>011400812</v>
          </cell>
          <cell r="C746">
            <v>0</v>
          </cell>
          <cell r="D746">
            <v>4000</v>
          </cell>
          <cell r="E746">
            <v>0</v>
          </cell>
          <cell r="F746">
            <v>0</v>
          </cell>
          <cell r="G746">
            <v>0</v>
          </cell>
          <cell r="H746">
            <v>0</v>
          </cell>
          <cell r="I746">
            <v>0</v>
          </cell>
          <cell r="J746">
            <v>4000</v>
          </cell>
          <cell r="K746">
            <v>0</v>
          </cell>
          <cell r="L746">
            <v>0</v>
          </cell>
          <cell r="M746">
            <v>0</v>
          </cell>
          <cell r="N746">
            <v>0</v>
          </cell>
        </row>
        <row r="747">
          <cell r="A747" t="str">
            <v>9410</v>
          </cell>
          <cell r="B747" t="str">
            <v>011404572</v>
          </cell>
          <cell r="C747">
            <v>0</v>
          </cell>
          <cell r="D747">
            <v>2400</v>
          </cell>
          <cell r="E747">
            <v>0</v>
          </cell>
          <cell r="F747">
            <v>0</v>
          </cell>
          <cell r="G747">
            <v>0</v>
          </cell>
          <cell r="H747">
            <v>0</v>
          </cell>
          <cell r="I747">
            <v>2400</v>
          </cell>
          <cell r="J747">
            <v>0</v>
          </cell>
          <cell r="K747">
            <v>0</v>
          </cell>
          <cell r="L747">
            <v>0</v>
          </cell>
          <cell r="M747">
            <v>0</v>
          </cell>
          <cell r="N747">
            <v>0</v>
          </cell>
        </row>
        <row r="748">
          <cell r="A748" t="str">
            <v>9410</v>
          </cell>
          <cell r="B748" t="str">
            <v>013701890</v>
          </cell>
          <cell r="C748">
            <v>0</v>
          </cell>
          <cell r="D748">
            <v>600</v>
          </cell>
          <cell r="E748">
            <v>0</v>
          </cell>
          <cell r="F748">
            <v>0</v>
          </cell>
          <cell r="G748">
            <v>0</v>
          </cell>
          <cell r="H748">
            <v>0</v>
          </cell>
          <cell r="I748">
            <v>600</v>
          </cell>
          <cell r="J748">
            <v>0</v>
          </cell>
          <cell r="K748">
            <v>0</v>
          </cell>
          <cell r="L748">
            <v>0</v>
          </cell>
          <cell r="M748">
            <v>0</v>
          </cell>
          <cell r="N748">
            <v>0</v>
          </cell>
        </row>
        <row r="749">
          <cell r="A749" t="str">
            <v>9410</v>
          </cell>
          <cell r="B749" t="str">
            <v>013804762</v>
          </cell>
          <cell r="C749">
            <v>0</v>
          </cell>
          <cell r="D749">
            <v>2400</v>
          </cell>
          <cell r="E749">
            <v>2400</v>
          </cell>
          <cell r="F749">
            <v>0</v>
          </cell>
          <cell r="G749">
            <v>0</v>
          </cell>
          <cell r="H749">
            <v>0</v>
          </cell>
          <cell r="I749">
            <v>0</v>
          </cell>
          <cell r="J749">
            <v>0</v>
          </cell>
          <cell r="K749">
            <v>2400</v>
          </cell>
          <cell r="L749">
            <v>0</v>
          </cell>
          <cell r="M749">
            <v>0</v>
          </cell>
          <cell r="N749">
            <v>2400</v>
          </cell>
        </row>
        <row r="750">
          <cell r="A750" t="str">
            <v>9410</v>
          </cell>
          <cell r="B750" t="str">
            <v>013804931</v>
          </cell>
          <cell r="C750">
            <v>0</v>
          </cell>
          <cell r="D750">
            <v>300</v>
          </cell>
          <cell r="E750">
            <v>0</v>
          </cell>
          <cell r="F750">
            <v>0</v>
          </cell>
          <cell r="G750">
            <v>0</v>
          </cell>
          <cell r="H750">
            <v>0</v>
          </cell>
          <cell r="I750">
            <v>300</v>
          </cell>
          <cell r="J750">
            <v>0</v>
          </cell>
          <cell r="K750">
            <v>0</v>
          </cell>
          <cell r="L750">
            <v>0</v>
          </cell>
          <cell r="M750">
            <v>0</v>
          </cell>
          <cell r="N750">
            <v>0</v>
          </cell>
        </row>
        <row r="751">
          <cell r="A751" t="str">
            <v>9410</v>
          </cell>
          <cell r="B751" t="str">
            <v>013806480</v>
          </cell>
          <cell r="C751">
            <v>0</v>
          </cell>
          <cell r="D751">
            <v>1200</v>
          </cell>
          <cell r="E751">
            <v>0</v>
          </cell>
          <cell r="F751">
            <v>0</v>
          </cell>
          <cell r="G751">
            <v>0</v>
          </cell>
          <cell r="H751">
            <v>0</v>
          </cell>
          <cell r="I751">
            <v>0</v>
          </cell>
          <cell r="J751">
            <v>0</v>
          </cell>
          <cell r="K751">
            <v>1200</v>
          </cell>
          <cell r="L751">
            <v>0</v>
          </cell>
          <cell r="M751">
            <v>0</v>
          </cell>
          <cell r="N751">
            <v>0</v>
          </cell>
        </row>
        <row r="752">
          <cell r="A752" t="str">
            <v>9410</v>
          </cell>
          <cell r="B752" t="str">
            <v>013806500</v>
          </cell>
          <cell r="C752">
            <v>0</v>
          </cell>
          <cell r="D752">
            <v>600</v>
          </cell>
          <cell r="E752">
            <v>0</v>
          </cell>
          <cell r="F752">
            <v>0</v>
          </cell>
          <cell r="G752">
            <v>0</v>
          </cell>
          <cell r="H752">
            <v>0</v>
          </cell>
          <cell r="I752">
            <v>600</v>
          </cell>
          <cell r="J752">
            <v>0</v>
          </cell>
          <cell r="K752">
            <v>0</v>
          </cell>
          <cell r="L752">
            <v>0</v>
          </cell>
          <cell r="M752">
            <v>0</v>
          </cell>
          <cell r="N752">
            <v>0</v>
          </cell>
        </row>
        <row r="753">
          <cell r="A753" t="str">
            <v>9410</v>
          </cell>
          <cell r="B753" t="str">
            <v>013806851</v>
          </cell>
          <cell r="C753">
            <v>0</v>
          </cell>
          <cell r="D753">
            <v>2400</v>
          </cell>
          <cell r="E753">
            <v>0</v>
          </cell>
          <cell r="F753">
            <v>0</v>
          </cell>
          <cell r="G753">
            <v>0</v>
          </cell>
          <cell r="H753">
            <v>0</v>
          </cell>
          <cell r="I753">
            <v>0</v>
          </cell>
          <cell r="J753">
            <v>0</v>
          </cell>
          <cell r="K753">
            <v>2400</v>
          </cell>
          <cell r="L753">
            <v>0</v>
          </cell>
          <cell r="M753">
            <v>0</v>
          </cell>
          <cell r="N753">
            <v>0</v>
          </cell>
        </row>
        <row r="754">
          <cell r="A754" t="str">
            <v>9410</v>
          </cell>
          <cell r="B754" t="str">
            <v>013807232</v>
          </cell>
          <cell r="C754">
            <v>0</v>
          </cell>
          <cell r="D754">
            <v>1200</v>
          </cell>
          <cell r="E754">
            <v>0</v>
          </cell>
          <cell r="F754">
            <v>0</v>
          </cell>
          <cell r="G754">
            <v>0</v>
          </cell>
          <cell r="H754">
            <v>0</v>
          </cell>
          <cell r="I754">
            <v>0</v>
          </cell>
          <cell r="J754">
            <v>1200</v>
          </cell>
          <cell r="K754">
            <v>0</v>
          </cell>
          <cell r="L754">
            <v>0</v>
          </cell>
          <cell r="M754">
            <v>0</v>
          </cell>
          <cell r="N754">
            <v>0</v>
          </cell>
        </row>
        <row r="755">
          <cell r="A755" t="str">
            <v>9410</v>
          </cell>
          <cell r="B755" t="str">
            <v>013807511</v>
          </cell>
          <cell r="C755">
            <v>0</v>
          </cell>
          <cell r="D755">
            <v>600</v>
          </cell>
          <cell r="E755">
            <v>0</v>
          </cell>
          <cell r="F755">
            <v>0</v>
          </cell>
          <cell r="G755">
            <v>0</v>
          </cell>
          <cell r="H755">
            <v>0</v>
          </cell>
          <cell r="I755">
            <v>600</v>
          </cell>
          <cell r="J755">
            <v>0</v>
          </cell>
          <cell r="K755">
            <v>0</v>
          </cell>
          <cell r="L755">
            <v>0</v>
          </cell>
          <cell r="M755">
            <v>0</v>
          </cell>
          <cell r="N755">
            <v>0</v>
          </cell>
        </row>
        <row r="756">
          <cell r="A756" t="str">
            <v>9410</v>
          </cell>
          <cell r="B756" t="str">
            <v>013807550</v>
          </cell>
          <cell r="C756">
            <v>0</v>
          </cell>
          <cell r="D756">
            <v>300</v>
          </cell>
          <cell r="E756">
            <v>0</v>
          </cell>
          <cell r="F756">
            <v>0</v>
          </cell>
          <cell r="G756">
            <v>0</v>
          </cell>
          <cell r="H756">
            <v>0</v>
          </cell>
          <cell r="I756">
            <v>300</v>
          </cell>
          <cell r="J756">
            <v>0</v>
          </cell>
          <cell r="K756">
            <v>0</v>
          </cell>
          <cell r="L756">
            <v>0</v>
          </cell>
          <cell r="M756">
            <v>0</v>
          </cell>
          <cell r="N756">
            <v>0</v>
          </cell>
        </row>
        <row r="757">
          <cell r="A757" t="str">
            <v>9410</v>
          </cell>
          <cell r="B757" t="str">
            <v>013807620</v>
          </cell>
          <cell r="C757">
            <v>0</v>
          </cell>
          <cell r="D757">
            <v>600</v>
          </cell>
          <cell r="E757">
            <v>0</v>
          </cell>
          <cell r="F757">
            <v>0</v>
          </cell>
          <cell r="G757">
            <v>0</v>
          </cell>
          <cell r="H757">
            <v>0</v>
          </cell>
          <cell r="I757">
            <v>0</v>
          </cell>
          <cell r="J757">
            <v>0</v>
          </cell>
          <cell r="K757">
            <v>600</v>
          </cell>
          <cell r="L757">
            <v>0</v>
          </cell>
          <cell r="M757">
            <v>0</v>
          </cell>
          <cell r="N757">
            <v>0</v>
          </cell>
        </row>
        <row r="758">
          <cell r="A758" t="str">
            <v>9410</v>
          </cell>
          <cell r="B758" t="str">
            <v>013807790</v>
          </cell>
          <cell r="C758">
            <v>0</v>
          </cell>
          <cell r="D758">
            <v>600</v>
          </cell>
          <cell r="E758">
            <v>0</v>
          </cell>
          <cell r="F758">
            <v>0</v>
          </cell>
          <cell r="G758">
            <v>0</v>
          </cell>
          <cell r="H758">
            <v>0</v>
          </cell>
          <cell r="I758">
            <v>0</v>
          </cell>
          <cell r="J758">
            <v>0</v>
          </cell>
          <cell r="K758">
            <v>600</v>
          </cell>
          <cell r="L758">
            <v>0</v>
          </cell>
          <cell r="M758">
            <v>0</v>
          </cell>
          <cell r="N758">
            <v>0</v>
          </cell>
        </row>
        <row r="759">
          <cell r="A759" t="str">
            <v>9410</v>
          </cell>
          <cell r="B759" t="str">
            <v>013808210</v>
          </cell>
          <cell r="C759">
            <v>0</v>
          </cell>
          <cell r="D759">
            <v>9600</v>
          </cell>
          <cell r="E759">
            <v>9600</v>
          </cell>
          <cell r="F759">
            <v>0</v>
          </cell>
          <cell r="G759">
            <v>0</v>
          </cell>
          <cell r="H759">
            <v>0</v>
          </cell>
          <cell r="I759">
            <v>0</v>
          </cell>
          <cell r="J759">
            <v>9600</v>
          </cell>
          <cell r="K759">
            <v>0</v>
          </cell>
          <cell r="L759">
            <v>0</v>
          </cell>
          <cell r="M759">
            <v>9600</v>
          </cell>
          <cell r="N759">
            <v>0</v>
          </cell>
        </row>
        <row r="760">
          <cell r="A760" t="str">
            <v>9410</v>
          </cell>
          <cell r="B760" t="str">
            <v>013808460</v>
          </cell>
          <cell r="C760">
            <v>0</v>
          </cell>
          <cell r="D760">
            <v>600</v>
          </cell>
          <cell r="E760">
            <v>0</v>
          </cell>
          <cell r="F760">
            <v>0</v>
          </cell>
          <cell r="G760">
            <v>0</v>
          </cell>
          <cell r="H760">
            <v>0</v>
          </cell>
          <cell r="I760">
            <v>600</v>
          </cell>
          <cell r="J760">
            <v>0</v>
          </cell>
          <cell r="K760">
            <v>0</v>
          </cell>
          <cell r="L760">
            <v>0</v>
          </cell>
          <cell r="M760">
            <v>0</v>
          </cell>
          <cell r="N760">
            <v>0</v>
          </cell>
        </row>
        <row r="761">
          <cell r="A761" t="str">
            <v>9410</v>
          </cell>
          <cell r="B761" t="str">
            <v>013808470</v>
          </cell>
          <cell r="C761">
            <v>0</v>
          </cell>
          <cell r="D761">
            <v>600</v>
          </cell>
          <cell r="E761">
            <v>0</v>
          </cell>
          <cell r="F761">
            <v>0</v>
          </cell>
          <cell r="G761">
            <v>0</v>
          </cell>
          <cell r="H761">
            <v>0</v>
          </cell>
          <cell r="I761">
            <v>600</v>
          </cell>
          <cell r="J761">
            <v>0</v>
          </cell>
          <cell r="K761">
            <v>0</v>
          </cell>
          <cell r="L761">
            <v>0</v>
          </cell>
          <cell r="M761">
            <v>0</v>
          </cell>
          <cell r="N761">
            <v>0</v>
          </cell>
        </row>
        <row r="762">
          <cell r="A762" t="str">
            <v>9410</v>
          </cell>
          <cell r="B762" t="str">
            <v>013808510</v>
          </cell>
          <cell r="C762">
            <v>0</v>
          </cell>
          <cell r="D762">
            <v>0</v>
          </cell>
          <cell r="E762">
            <v>2400</v>
          </cell>
          <cell r="F762">
            <v>0</v>
          </cell>
          <cell r="G762">
            <v>0</v>
          </cell>
          <cell r="H762">
            <v>0</v>
          </cell>
          <cell r="I762">
            <v>0</v>
          </cell>
          <cell r="J762">
            <v>0</v>
          </cell>
          <cell r="K762">
            <v>0</v>
          </cell>
          <cell r="L762">
            <v>2400</v>
          </cell>
          <cell r="M762">
            <v>0</v>
          </cell>
          <cell r="N762">
            <v>0</v>
          </cell>
        </row>
        <row r="763">
          <cell r="A763" t="str">
            <v>9410</v>
          </cell>
          <cell r="B763" t="str">
            <v>013808571</v>
          </cell>
          <cell r="C763">
            <v>0</v>
          </cell>
          <cell r="D763">
            <v>2400</v>
          </cell>
          <cell r="E763">
            <v>0</v>
          </cell>
          <cell r="F763">
            <v>0</v>
          </cell>
          <cell r="G763">
            <v>0</v>
          </cell>
          <cell r="H763">
            <v>0</v>
          </cell>
          <cell r="I763">
            <v>2400</v>
          </cell>
          <cell r="J763">
            <v>0</v>
          </cell>
          <cell r="K763">
            <v>0</v>
          </cell>
          <cell r="L763">
            <v>0</v>
          </cell>
          <cell r="M763">
            <v>0</v>
          </cell>
          <cell r="N763">
            <v>0</v>
          </cell>
        </row>
        <row r="764">
          <cell r="A764" t="str">
            <v>9410</v>
          </cell>
          <cell r="B764" t="str">
            <v>013808580</v>
          </cell>
          <cell r="C764">
            <v>0</v>
          </cell>
          <cell r="D764">
            <v>2400</v>
          </cell>
          <cell r="E764">
            <v>0</v>
          </cell>
          <cell r="F764">
            <v>0</v>
          </cell>
          <cell r="G764">
            <v>0</v>
          </cell>
          <cell r="H764">
            <v>0</v>
          </cell>
          <cell r="I764">
            <v>0</v>
          </cell>
          <cell r="J764">
            <v>2400</v>
          </cell>
          <cell r="K764">
            <v>0</v>
          </cell>
          <cell r="L764">
            <v>0</v>
          </cell>
          <cell r="M764">
            <v>0</v>
          </cell>
          <cell r="N764">
            <v>0</v>
          </cell>
        </row>
        <row r="765">
          <cell r="A765" t="str">
            <v>9410</v>
          </cell>
          <cell r="B765" t="str">
            <v>013809030</v>
          </cell>
          <cell r="C765">
            <v>0</v>
          </cell>
          <cell r="D765">
            <v>2400</v>
          </cell>
          <cell r="E765">
            <v>0</v>
          </cell>
          <cell r="F765">
            <v>0</v>
          </cell>
          <cell r="G765">
            <v>0</v>
          </cell>
          <cell r="H765">
            <v>0</v>
          </cell>
          <cell r="I765">
            <v>2400</v>
          </cell>
          <cell r="J765">
            <v>0</v>
          </cell>
          <cell r="K765">
            <v>0</v>
          </cell>
          <cell r="L765">
            <v>0</v>
          </cell>
          <cell r="M765">
            <v>0</v>
          </cell>
          <cell r="N765">
            <v>0</v>
          </cell>
        </row>
        <row r="766">
          <cell r="A766" t="str">
            <v>9410</v>
          </cell>
          <cell r="B766" t="str">
            <v>013809100</v>
          </cell>
          <cell r="C766">
            <v>0</v>
          </cell>
          <cell r="D766">
            <v>14400</v>
          </cell>
          <cell r="E766">
            <v>21600</v>
          </cell>
          <cell r="F766">
            <v>0</v>
          </cell>
          <cell r="G766">
            <v>0</v>
          </cell>
          <cell r="H766">
            <v>0</v>
          </cell>
          <cell r="I766">
            <v>7200</v>
          </cell>
          <cell r="J766">
            <v>7200</v>
          </cell>
          <cell r="K766">
            <v>0</v>
          </cell>
          <cell r="L766">
            <v>7200</v>
          </cell>
          <cell r="M766">
            <v>7200</v>
          </cell>
          <cell r="N766">
            <v>7200</v>
          </cell>
        </row>
        <row r="767">
          <cell r="A767" t="str">
            <v>9410</v>
          </cell>
          <cell r="B767" t="str">
            <v>013809110</v>
          </cell>
          <cell r="C767">
            <v>0</v>
          </cell>
          <cell r="D767">
            <v>0</v>
          </cell>
          <cell r="E767">
            <v>4800</v>
          </cell>
          <cell r="F767">
            <v>0</v>
          </cell>
          <cell r="G767">
            <v>0</v>
          </cell>
          <cell r="H767">
            <v>0</v>
          </cell>
          <cell r="I767">
            <v>0</v>
          </cell>
          <cell r="J767">
            <v>0</v>
          </cell>
          <cell r="K767">
            <v>0</v>
          </cell>
          <cell r="L767">
            <v>2400</v>
          </cell>
          <cell r="M767">
            <v>2400</v>
          </cell>
          <cell r="N767">
            <v>0</v>
          </cell>
        </row>
        <row r="768">
          <cell r="A768" t="str">
            <v>9410</v>
          </cell>
          <cell r="B768" t="str">
            <v>013809120</v>
          </cell>
          <cell r="C768">
            <v>0</v>
          </cell>
          <cell r="D768">
            <v>0</v>
          </cell>
          <cell r="E768">
            <v>4800</v>
          </cell>
          <cell r="F768">
            <v>0</v>
          </cell>
          <cell r="G768">
            <v>0</v>
          </cell>
          <cell r="H768">
            <v>0</v>
          </cell>
          <cell r="I768">
            <v>0</v>
          </cell>
          <cell r="J768">
            <v>0</v>
          </cell>
          <cell r="K768">
            <v>0</v>
          </cell>
          <cell r="L768">
            <v>2400</v>
          </cell>
          <cell r="M768">
            <v>2400</v>
          </cell>
          <cell r="N768">
            <v>0</v>
          </cell>
        </row>
        <row r="769">
          <cell r="A769" t="str">
            <v>9410</v>
          </cell>
          <cell r="B769" t="str">
            <v>013809200</v>
          </cell>
          <cell r="C769">
            <v>0</v>
          </cell>
          <cell r="D769">
            <v>2400</v>
          </cell>
          <cell r="E769">
            <v>0</v>
          </cell>
          <cell r="F769">
            <v>0</v>
          </cell>
          <cell r="G769">
            <v>0</v>
          </cell>
          <cell r="H769">
            <v>0</v>
          </cell>
          <cell r="I769">
            <v>0</v>
          </cell>
          <cell r="J769">
            <v>0</v>
          </cell>
          <cell r="K769">
            <v>2400</v>
          </cell>
          <cell r="L769">
            <v>0</v>
          </cell>
          <cell r="M769">
            <v>0</v>
          </cell>
          <cell r="N769">
            <v>0</v>
          </cell>
        </row>
        <row r="770">
          <cell r="A770" t="str">
            <v>9410</v>
          </cell>
          <cell r="B770" t="str">
            <v>013809340</v>
          </cell>
          <cell r="C770">
            <v>0</v>
          </cell>
          <cell r="D770">
            <v>2400</v>
          </cell>
          <cell r="E770">
            <v>0</v>
          </cell>
          <cell r="F770">
            <v>0</v>
          </cell>
          <cell r="G770">
            <v>0</v>
          </cell>
          <cell r="H770">
            <v>0</v>
          </cell>
          <cell r="I770">
            <v>0</v>
          </cell>
          <cell r="J770">
            <v>0</v>
          </cell>
          <cell r="K770">
            <v>2400</v>
          </cell>
          <cell r="L770">
            <v>0</v>
          </cell>
          <cell r="M770">
            <v>0</v>
          </cell>
          <cell r="N770">
            <v>0</v>
          </cell>
        </row>
        <row r="771">
          <cell r="A771" t="str">
            <v>9410</v>
          </cell>
          <cell r="B771" t="str">
            <v>013809350</v>
          </cell>
          <cell r="C771">
            <v>0</v>
          </cell>
          <cell r="D771">
            <v>26400</v>
          </cell>
          <cell r="E771">
            <v>0</v>
          </cell>
          <cell r="F771">
            <v>0</v>
          </cell>
          <cell r="G771">
            <v>0</v>
          </cell>
          <cell r="H771">
            <v>0</v>
          </cell>
          <cell r="I771">
            <v>0</v>
          </cell>
          <cell r="J771">
            <v>2400</v>
          </cell>
          <cell r="K771">
            <v>24000</v>
          </cell>
          <cell r="L771">
            <v>0</v>
          </cell>
          <cell r="M771">
            <v>0</v>
          </cell>
          <cell r="N771">
            <v>0</v>
          </cell>
        </row>
        <row r="772">
          <cell r="A772" t="str">
            <v>9410</v>
          </cell>
          <cell r="B772" t="str">
            <v>013809360</v>
          </cell>
          <cell r="C772">
            <v>0</v>
          </cell>
          <cell r="D772">
            <v>26400</v>
          </cell>
          <cell r="E772">
            <v>0</v>
          </cell>
          <cell r="F772">
            <v>0</v>
          </cell>
          <cell r="G772">
            <v>0</v>
          </cell>
          <cell r="H772">
            <v>0</v>
          </cell>
          <cell r="I772">
            <v>0</v>
          </cell>
          <cell r="J772">
            <v>2400</v>
          </cell>
          <cell r="K772">
            <v>24000</v>
          </cell>
          <cell r="L772">
            <v>0</v>
          </cell>
          <cell r="M772">
            <v>0</v>
          </cell>
          <cell r="N772">
            <v>0</v>
          </cell>
        </row>
        <row r="773">
          <cell r="A773" t="str">
            <v>9410</v>
          </cell>
          <cell r="B773" t="str">
            <v>013809400</v>
          </cell>
          <cell r="C773">
            <v>0</v>
          </cell>
          <cell r="D773">
            <v>24000</v>
          </cell>
          <cell r="E773">
            <v>0</v>
          </cell>
          <cell r="F773">
            <v>0</v>
          </cell>
          <cell r="G773">
            <v>0</v>
          </cell>
          <cell r="H773">
            <v>0</v>
          </cell>
          <cell r="I773">
            <v>0</v>
          </cell>
          <cell r="J773">
            <v>0</v>
          </cell>
          <cell r="K773">
            <v>24000</v>
          </cell>
          <cell r="L773">
            <v>0</v>
          </cell>
          <cell r="M773">
            <v>0</v>
          </cell>
          <cell r="N773">
            <v>0</v>
          </cell>
        </row>
        <row r="774">
          <cell r="A774" t="str">
            <v>9410</v>
          </cell>
          <cell r="B774" t="str">
            <v>014702541</v>
          </cell>
          <cell r="C774">
            <v>0</v>
          </cell>
          <cell r="D774">
            <v>4800</v>
          </cell>
          <cell r="E774">
            <v>0</v>
          </cell>
          <cell r="F774">
            <v>0</v>
          </cell>
          <cell r="G774">
            <v>0</v>
          </cell>
          <cell r="H774">
            <v>0</v>
          </cell>
          <cell r="I774">
            <v>4800</v>
          </cell>
          <cell r="J774">
            <v>0</v>
          </cell>
          <cell r="K774">
            <v>0</v>
          </cell>
          <cell r="L774">
            <v>0</v>
          </cell>
          <cell r="M774">
            <v>0</v>
          </cell>
          <cell r="N774">
            <v>0</v>
          </cell>
        </row>
        <row r="775">
          <cell r="A775" t="str">
            <v>9410</v>
          </cell>
          <cell r="B775" t="str">
            <v>015200722</v>
          </cell>
          <cell r="C775">
            <v>0</v>
          </cell>
          <cell r="D775">
            <v>2400</v>
          </cell>
          <cell r="E775">
            <v>0</v>
          </cell>
          <cell r="F775">
            <v>0</v>
          </cell>
          <cell r="G775">
            <v>0</v>
          </cell>
          <cell r="H775">
            <v>0</v>
          </cell>
          <cell r="I775">
            <v>2400</v>
          </cell>
          <cell r="J775">
            <v>0</v>
          </cell>
          <cell r="K775">
            <v>0</v>
          </cell>
          <cell r="L775">
            <v>0</v>
          </cell>
          <cell r="M775">
            <v>0</v>
          </cell>
          <cell r="N775">
            <v>0</v>
          </cell>
        </row>
        <row r="776">
          <cell r="A776" t="str">
            <v>9410</v>
          </cell>
          <cell r="B776" t="str">
            <v>015201311</v>
          </cell>
          <cell r="C776">
            <v>0</v>
          </cell>
          <cell r="D776">
            <v>2400</v>
          </cell>
          <cell r="E776">
            <v>0</v>
          </cell>
          <cell r="F776">
            <v>0</v>
          </cell>
          <cell r="G776">
            <v>0</v>
          </cell>
          <cell r="H776">
            <v>0</v>
          </cell>
          <cell r="I776">
            <v>2400</v>
          </cell>
          <cell r="J776">
            <v>0</v>
          </cell>
          <cell r="K776">
            <v>0</v>
          </cell>
          <cell r="L776">
            <v>0</v>
          </cell>
          <cell r="M776">
            <v>0</v>
          </cell>
          <cell r="N776">
            <v>0</v>
          </cell>
        </row>
        <row r="777">
          <cell r="A777" t="str">
            <v>9410</v>
          </cell>
          <cell r="B777" t="str">
            <v>015201681</v>
          </cell>
          <cell r="C777">
            <v>0</v>
          </cell>
          <cell r="D777">
            <v>2400</v>
          </cell>
          <cell r="E777">
            <v>0</v>
          </cell>
          <cell r="F777">
            <v>0</v>
          </cell>
          <cell r="G777">
            <v>0</v>
          </cell>
          <cell r="H777">
            <v>0</v>
          </cell>
          <cell r="I777">
            <v>2400</v>
          </cell>
          <cell r="J777">
            <v>0</v>
          </cell>
          <cell r="K777">
            <v>0</v>
          </cell>
          <cell r="L777">
            <v>0</v>
          </cell>
          <cell r="M777">
            <v>0</v>
          </cell>
          <cell r="N777">
            <v>0</v>
          </cell>
        </row>
        <row r="778">
          <cell r="A778" t="str">
            <v>9410</v>
          </cell>
          <cell r="B778" t="str">
            <v>015201691</v>
          </cell>
          <cell r="C778">
            <v>0</v>
          </cell>
          <cell r="D778">
            <v>2400</v>
          </cell>
          <cell r="E778">
            <v>0</v>
          </cell>
          <cell r="F778">
            <v>0</v>
          </cell>
          <cell r="G778">
            <v>0</v>
          </cell>
          <cell r="H778">
            <v>0</v>
          </cell>
          <cell r="I778">
            <v>2400</v>
          </cell>
          <cell r="J778">
            <v>0</v>
          </cell>
          <cell r="K778">
            <v>0</v>
          </cell>
          <cell r="L778">
            <v>0</v>
          </cell>
          <cell r="M778">
            <v>0</v>
          </cell>
          <cell r="N778">
            <v>0</v>
          </cell>
        </row>
        <row r="779">
          <cell r="A779" t="str">
            <v>9410</v>
          </cell>
          <cell r="B779" t="str">
            <v>015201811</v>
          </cell>
          <cell r="C779">
            <v>0</v>
          </cell>
          <cell r="D779">
            <v>4000</v>
          </cell>
          <cell r="E779">
            <v>0</v>
          </cell>
          <cell r="F779">
            <v>0</v>
          </cell>
          <cell r="G779">
            <v>0</v>
          </cell>
          <cell r="H779">
            <v>0</v>
          </cell>
          <cell r="I779">
            <v>4000</v>
          </cell>
          <cell r="J779">
            <v>0</v>
          </cell>
          <cell r="K779">
            <v>0</v>
          </cell>
          <cell r="L779">
            <v>0</v>
          </cell>
          <cell r="M779">
            <v>0</v>
          </cell>
          <cell r="N779">
            <v>0</v>
          </cell>
        </row>
        <row r="780">
          <cell r="A780" t="str">
            <v>9410</v>
          </cell>
          <cell r="B780" t="str">
            <v>015201821</v>
          </cell>
          <cell r="C780">
            <v>0</v>
          </cell>
          <cell r="D780">
            <v>4000</v>
          </cell>
          <cell r="E780">
            <v>0</v>
          </cell>
          <cell r="F780">
            <v>0</v>
          </cell>
          <cell r="G780">
            <v>0</v>
          </cell>
          <cell r="H780">
            <v>0</v>
          </cell>
          <cell r="I780">
            <v>4000</v>
          </cell>
          <cell r="J780">
            <v>0</v>
          </cell>
          <cell r="K780">
            <v>0</v>
          </cell>
          <cell r="L780">
            <v>0</v>
          </cell>
          <cell r="M780">
            <v>0</v>
          </cell>
          <cell r="N780">
            <v>0</v>
          </cell>
        </row>
        <row r="781">
          <cell r="A781" t="str">
            <v>9410</v>
          </cell>
          <cell r="B781" t="str">
            <v>015201881</v>
          </cell>
          <cell r="C781">
            <v>0</v>
          </cell>
          <cell r="D781">
            <v>2400</v>
          </cell>
          <cell r="E781">
            <v>0</v>
          </cell>
          <cell r="F781">
            <v>0</v>
          </cell>
          <cell r="G781">
            <v>0</v>
          </cell>
          <cell r="H781">
            <v>0</v>
          </cell>
          <cell r="I781">
            <v>2400</v>
          </cell>
          <cell r="J781">
            <v>0</v>
          </cell>
          <cell r="K781">
            <v>0</v>
          </cell>
          <cell r="L781">
            <v>0</v>
          </cell>
          <cell r="M781">
            <v>0</v>
          </cell>
          <cell r="N781">
            <v>0</v>
          </cell>
        </row>
        <row r="782">
          <cell r="A782" t="str">
            <v>9410</v>
          </cell>
          <cell r="B782" t="str">
            <v>015202021</v>
          </cell>
          <cell r="C782">
            <v>0</v>
          </cell>
          <cell r="D782">
            <v>2000</v>
          </cell>
          <cell r="E782">
            <v>0</v>
          </cell>
          <cell r="F782">
            <v>0</v>
          </cell>
          <cell r="G782">
            <v>0</v>
          </cell>
          <cell r="H782">
            <v>0</v>
          </cell>
          <cell r="I782">
            <v>0</v>
          </cell>
          <cell r="J782">
            <v>2000</v>
          </cell>
          <cell r="K782">
            <v>0</v>
          </cell>
          <cell r="L782">
            <v>0</v>
          </cell>
          <cell r="M782">
            <v>0</v>
          </cell>
          <cell r="N782">
            <v>0</v>
          </cell>
        </row>
        <row r="783">
          <cell r="A783" t="str">
            <v>9410</v>
          </cell>
          <cell r="B783" t="str">
            <v>015202650</v>
          </cell>
          <cell r="C783">
            <v>0</v>
          </cell>
          <cell r="D783">
            <v>2400</v>
          </cell>
          <cell r="E783">
            <v>0</v>
          </cell>
          <cell r="F783">
            <v>0</v>
          </cell>
          <cell r="G783">
            <v>0</v>
          </cell>
          <cell r="H783">
            <v>0</v>
          </cell>
          <cell r="I783">
            <v>2400</v>
          </cell>
          <cell r="J783">
            <v>0</v>
          </cell>
          <cell r="K783">
            <v>0</v>
          </cell>
          <cell r="L783">
            <v>0</v>
          </cell>
          <cell r="M783">
            <v>0</v>
          </cell>
          <cell r="N783">
            <v>0</v>
          </cell>
        </row>
        <row r="784">
          <cell r="A784" t="str">
            <v>9410</v>
          </cell>
          <cell r="B784" t="str">
            <v>015202830</v>
          </cell>
          <cell r="C784">
            <v>0</v>
          </cell>
          <cell r="D784">
            <v>2000</v>
          </cell>
          <cell r="E784">
            <v>0</v>
          </cell>
          <cell r="F784">
            <v>0</v>
          </cell>
          <cell r="G784">
            <v>0</v>
          </cell>
          <cell r="H784">
            <v>0</v>
          </cell>
          <cell r="I784">
            <v>2000</v>
          </cell>
          <cell r="J784">
            <v>0</v>
          </cell>
          <cell r="K784">
            <v>0</v>
          </cell>
          <cell r="L784">
            <v>0</v>
          </cell>
          <cell r="M784">
            <v>0</v>
          </cell>
          <cell r="N784">
            <v>0</v>
          </cell>
        </row>
        <row r="785">
          <cell r="A785" t="str">
            <v>9410</v>
          </cell>
          <cell r="B785" t="str">
            <v>015202840</v>
          </cell>
          <cell r="C785">
            <v>0</v>
          </cell>
          <cell r="D785">
            <v>6000</v>
          </cell>
          <cell r="E785">
            <v>6000</v>
          </cell>
          <cell r="F785">
            <v>0</v>
          </cell>
          <cell r="G785">
            <v>0</v>
          </cell>
          <cell r="H785">
            <v>0</v>
          </cell>
          <cell r="I785">
            <v>6000</v>
          </cell>
          <cell r="J785">
            <v>0</v>
          </cell>
          <cell r="K785">
            <v>0</v>
          </cell>
          <cell r="L785">
            <v>6000</v>
          </cell>
          <cell r="M785">
            <v>0</v>
          </cell>
          <cell r="N785">
            <v>0</v>
          </cell>
        </row>
        <row r="786">
          <cell r="A786" t="str">
            <v>9410</v>
          </cell>
          <cell r="B786" t="str">
            <v>015202860</v>
          </cell>
          <cell r="C786">
            <v>0</v>
          </cell>
          <cell r="D786">
            <v>2000</v>
          </cell>
          <cell r="E786">
            <v>2000</v>
          </cell>
          <cell r="F786">
            <v>0</v>
          </cell>
          <cell r="G786">
            <v>0</v>
          </cell>
          <cell r="H786">
            <v>0</v>
          </cell>
          <cell r="I786">
            <v>2000</v>
          </cell>
          <cell r="J786">
            <v>0</v>
          </cell>
          <cell r="K786">
            <v>0</v>
          </cell>
          <cell r="L786">
            <v>2000</v>
          </cell>
          <cell r="M786">
            <v>0</v>
          </cell>
          <cell r="N786">
            <v>0</v>
          </cell>
        </row>
        <row r="787">
          <cell r="A787" t="str">
            <v>9410</v>
          </cell>
          <cell r="B787" t="str">
            <v>015202961</v>
          </cell>
          <cell r="C787">
            <v>0</v>
          </cell>
          <cell r="D787">
            <v>300</v>
          </cell>
          <cell r="E787">
            <v>0</v>
          </cell>
          <cell r="F787">
            <v>0</v>
          </cell>
          <cell r="G787">
            <v>0</v>
          </cell>
          <cell r="H787">
            <v>0</v>
          </cell>
          <cell r="I787">
            <v>300</v>
          </cell>
          <cell r="J787">
            <v>0</v>
          </cell>
          <cell r="K787">
            <v>0</v>
          </cell>
          <cell r="L787">
            <v>0</v>
          </cell>
          <cell r="M787">
            <v>0</v>
          </cell>
          <cell r="N787">
            <v>0</v>
          </cell>
        </row>
        <row r="788">
          <cell r="A788" t="str">
            <v>9410</v>
          </cell>
          <cell r="B788" t="str">
            <v>015500913</v>
          </cell>
          <cell r="C788">
            <v>0</v>
          </cell>
          <cell r="D788">
            <v>9600</v>
          </cell>
          <cell r="E788">
            <v>9600</v>
          </cell>
          <cell r="F788">
            <v>0</v>
          </cell>
          <cell r="G788">
            <v>0</v>
          </cell>
          <cell r="H788">
            <v>0</v>
          </cell>
          <cell r="I788">
            <v>0</v>
          </cell>
          <cell r="J788">
            <v>0</v>
          </cell>
          <cell r="K788">
            <v>9600</v>
          </cell>
          <cell r="L788">
            <v>9600</v>
          </cell>
          <cell r="M788">
            <v>0</v>
          </cell>
          <cell r="N788">
            <v>0</v>
          </cell>
        </row>
        <row r="789">
          <cell r="A789" t="str">
            <v>9410</v>
          </cell>
          <cell r="B789" t="str">
            <v>015500922</v>
          </cell>
          <cell r="C789">
            <v>0</v>
          </cell>
          <cell r="D789">
            <v>9600</v>
          </cell>
          <cell r="E789">
            <v>12000</v>
          </cell>
          <cell r="F789">
            <v>0</v>
          </cell>
          <cell r="G789">
            <v>0</v>
          </cell>
          <cell r="H789">
            <v>0</v>
          </cell>
          <cell r="I789">
            <v>0</v>
          </cell>
          <cell r="J789">
            <v>9600</v>
          </cell>
          <cell r="K789">
            <v>0</v>
          </cell>
          <cell r="L789">
            <v>12000</v>
          </cell>
          <cell r="M789">
            <v>0</v>
          </cell>
          <cell r="N789">
            <v>0</v>
          </cell>
        </row>
        <row r="790">
          <cell r="A790" t="str">
            <v>9410</v>
          </cell>
          <cell r="B790" t="str">
            <v>015501522</v>
          </cell>
          <cell r="C790">
            <v>0</v>
          </cell>
          <cell r="D790">
            <v>2400</v>
          </cell>
          <cell r="E790">
            <v>2400</v>
          </cell>
          <cell r="F790">
            <v>0</v>
          </cell>
          <cell r="G790">
            <v>0</v>
          </cell>
          <cell r="H790">
            <v>0</v>
          </cell>
          <cell r="I790">
            <v>2400</v>
          </cell>
          <cell r="J790">
            <v>0</v>
          </cell>
          <cell r="K790">
            <v>0</v>
          </cell>
          <cell r="L790">
            <v>2400</v>
          </cell>
          <cell r="M790">
            <v>0</v>
          </cell>
          <cell r="N790">
            <v>0</v>
          </cell>
        </row>
        <row r="791">
          <cell r="A791" t="str">
            <v>9410</v>
          </cell>
          <cell r="B791" t="str">
            <v>015501533</v>
          </cell>
          <cell r="C791">
            <v>0</v>
          </cell>
          <cell r="D791">
            <v>2400</v>
          </cell>
          <cell r="E791">
            <v>2400</v>
          </cell>
          <cell r="F791">
            <v>0</v>
          </cell>
          <cell r="G791">
            <v>0</v>
          </cell>
          <cell r="H791">
            <v>0</v>
          </cell>
          <cell r="I791">
            <v>0</v>
          </cell>
          <cell r="J791">
            <v>0</v>
          </cell>
          <cell r="K791">
            <v>2400</v>
          </cell>
          <cell r="L791">
            <v>2400</v>
          </cell>
          <cell r="M791">
            <v>0</v>
          </cell>
          <cell r="N791">
            <v>0</v>
          </cell>
        </row>
        <row r="792">
          <cell r="A792" t="str">
            <v>9410</v>
          </cell>
          <cell r="B792" t="str">
            <v>015501780</v>
          </cell>
          <cell r="C792">
            <v>0</v>
          </cell>
          <cell r="D792">
            <v>2400</v>
          </cell>
          <cell r="E792">
            <v>2400</v>
          </cell>
          <cell r="F792">
            <v>0</v>
          </cell>
          <cell r="G792">
            <v>0</v>
          </cell>
          <cell r="H792">
            <v>0</v>
          </cell>
          <cell r="I792">
            <v>2400</v>
          </cell>
          <cell r="J792">
            <v>0</v>
          </cell>
          <cell r="K792">
            <v>0</v>
          </cell>
          <cell r="L792">
            <v>2400</v>
          </cell>
          <cell r="M792">
            <v>0</v>
          </cell>
          <cell r="N792">
            <v>0</v>
          </cell>
        </row>
        <row r="793">
          <cell r="A793" t="str">
            <v>9410</v>
          </cell>
          <cell r="B793" t="str">
            <v>015502552</v>
          </cell>
          <cell r="C793">
            <v>0</v>
          </cell>
          <cell r="D793">
            <v>2400</v>
          </cell>
          <cell r="E793">
            <v>2400</v>
          </cell>
          <cell r="F793">
            <v>0</v>
          </cell>
          <cell r="G793">
            <v>0</v>
          </cell>
          <cell r="H793">
            <v>0</v>
          </cell>
          <cell r="I793">
            <v>2400</v>
          </cell>
          <cell r="J793">
            <v>0</v>
          </cell>
          <cell r="K793">
            <v>0</v>
          </cell>
          <cell r="L793">
            <v>2400</v>
          </cell>
          <cell r="M793">
            <v>0</v>
          </cell>
          <cell r="N793">
            <v>0</v>
          </cell>
        </row>
        <row r="794">
          <cell r="A794" t="str">
            <v>9410</v>
          </cell>
          <cell r="B794" t="str">
            <v>015502581</v>
          </cell>
          <cell r="C794">
            <v>0</v>
          </cell>
          <cell r="D794">
            <v>2400</v>
          </cell>
          <cell r="E794">
            <v>0</v>
          </cell>
          <cell r="F794">
            <v>0</v>
          </cell>
          <cell r="G794">
            <v>0</v>
          </cell>
          <cell r="H794">
            <v>0</v>
          </cell>
          <cell r="I794">
            <v>2400</v>
          </cell>
          <cell r="J794">
            <v>0</v>
          </cell>
          <cell r="K794">
            <v>0</v>
          </cell>
          <cell r="L794">
            <v>0</v>
          </cell>
          <cell r="M794">
            <v>0</v>
          </cell>
          <cell r="N794">
            <v>0</v>
          </cell>
        </row>
        <row r="795">
          <cell r="A795" t="str">
            <v>9410</v>
          </cell>
          <cell r="B795" t="str">
            <v>015502711</v>
          </cell>
          <cell r="C795">
            <v>0</v>
          </cell>
          <cell r="D795">
            <v>2400</v>
          </cell>
          <cell r="E795">
            <v>0</v>
          </cell>
          <cell r="F795">
            <v>0</v>
          </cell>
          <cell r="G795">
            <v>0</v>
          </cell>
          <cell r="H795">
            <v>0</v>
          </cell>
          <cell r="I795">
            <v>0</v>
          </cell>
          <cell r="J795">
            <v>0</v>
          </cell>
          <cell r="K795">
            <v>2400</v>
          </cell>
          <cell r="L795">
            <v>0</v>
          </cell>
          <cell r="M795">
            <v>0</v>
          </cell>
          <cell r="N795">
            <v>0</v>
          </cell>
        </row>
        <row r="796">
          <cell r="A796" t="str">
            <v>9410</v>
          </cell>
          <cell r="B796" t="str">
            <v>015502980</v>
          </cell>
          <cell r="C796">
            <v>0</v>
          </cell>
          <cell r="D796">
            <v>2400</v>
          </cell>
          <cell r="E796">
            <v>0</v>
          </cell>
          <cell r="F796">
            <v>0</v>
          </cell>
          <cell r="G796">
            <v>0</v>
          </cell>
          <cell r="H796">
            <v>0</v>
          </cell>
          <cell r="I796">
            <v>0</v>
          </cell>
          <cell r="J796">
            <v>0</v>
          </cell>
          <cell r="K796">
            <v>2400</v>
          </cell>
          <cell r="L796">
            <v>0</v>
          </cell>
          <cell r="M796">
            <v>0</v>
          </cell>
          <cell r="N796">
            <v>0</v>
          </cell>
        </row>
        <row r="797">
          <cell r="A797" t="str">
            <v>9410</v>
          </cell>
          <cell r="B797" t="str">
            <v>015503070</v>
          </cell>
          <cell r="C797">
            <v>0</v>
          </cell>
          <cell r="D797">
            <v>2400</v>
          </cell>
          <cell r="E797">
            <v>0</v>
          </cell>
          <cell r="F797">
            <v>0</v>
          </cell>
          <cell r="G797">
            <v>0</v>
          </cell>
          <cell r="H797">
            <v>0</v>
          </cell>
          <cell r="I797">
            <v>2400</v>
          </cell>
          <cell r="J797">
            <v>0</v>
          </cell>
          <cell r="K797">
            <v>0</v>
          </cell>
          <cell r="L797">
            <v>0</v>
          </cell>
          <cell r="M797">
            <v>0</v>
          </cell>
          <cell r="N797">
            <v>0</v>
          </cell>
        </row>
        <row r="798">
          <cell r="A798" t="str">
            <v>9410</v>
          </cell>
          <cell r="B798" t="str">
            <v>015503080</v>
          </cell>
          <cell r="C798">
            <v>0</v>
          </cell>
          <cell r="D798">
            <v>2400</v>
          </cell>
          <cell r="E798">
            <v>0</v>
          </cell>
          <cell r="F798">
            <v>0</v>
          </cell>
          <cell r="G798">
            <v>0</v>
          </cell>
          <cell r="H798">
            <v>0</v>
          </cell>
          <cell r="I798">
            <v>2400</v>
          </cell>
          <cell r="J798">
            <v>0</v>
          </cell>
          <cell r="K798">
            <v>0</v>
          </cell>
          <cell r="L798">
            <v>0</v>
          </cell>
          <cell r="M798">
            <v>0</v>
          </cell>
          <cell r="N798">
            <v>0</v>
          </cell>
        </row>
        <row r="799">
          <cell r="A799" t="str">
            <v>9410</v>
          </cell>
          <cell r="B799" t="str">
            <v>015600230</v>
          </cell>
          <cell r="C799">
            <v>0</v>
          </cell>
          <cell r="D799">
            <v>4800</v>
          </cell>
          <cell r="E799">
            <v>4800</v>
          </cell>
          <cell r="F799">
            <v>0</v>
          </cell>
          <cell r="G799">
            <v>0</v>
          </cell>
          <cell r="H799">
            <v>0</v>
          </cell>
          <cell r="I799">
            <v>2400</v>
          </cell>
          <cell r="J799">
            <v>0</v>
          </cell>
          <cell r="K799">
            <v>2400</v>
          </cell>
          <cell r="L799">
            <v>2400</v>
          </cell>
          <cell r="M799">
            <v>0</v>
          </cell>
          <cell r="N799">
            <v>2400</v>
          </cell>
        </row>
        <row r="800">
          <cell r="A800" t="str">
            <v>9410</v>
          </cell>
          <cell r="B800" t="str">
            <v>019400331</v>
          </cell>
          <cell r="C800">
            <v>0</v>
          </cell>
          <cell r="D800">
            <v>0</v>
          </cell>
          <cell r="E800">
            <v>12000</v>
          </cell>
          <cell r="F800">
            <v>0</v>
          </cell>
          <cell r="G800">
            <v>0</v>
          </cell>
          <cell r="H800">
            <v>0</v>
          </cell>
          <cell r="I800">
            <v>0</v>
          </cell>
          <cell r="J800">
            <v>0</v>
          </cell>
          <cell r="K800">
            <v>0</v>
          </cell>
          <cell r="L800">
            <v>0</v>
          </cell>
          <cell r="M800">
            <v>12000</v>
          </cell>
          <cell r="N800">
            <v>0</v>
          </cell>
        </row>
        <row r="801">
          <cell r="A801" t="str">
            <v>9410</v>
          </cell>
          <cell r="B801" t="str">
            <v>019400350</v>
          </cell>
          <cell r="C801">
            <v>0</v>
          </cell>
          <cell r="D801">
            <v>7200</v>
          </cell>
          <cell r="E801">
            <v>4800</v>
          </cell>
          <cell r="F801">
            <v>0</v>
          </cell>
          <cell r="G801">
            <v>0</v>
          </cell>
          <cell r="H801">
            <v>0</v>
          </cell>
          <cell r="I801">
            <v>0</v>
          </cell>
          <cell r="J801">
            <v>7200</v>
          </cell>
          <cell r="K801">
            <v>0</v>
          </cell>
          <cell r="L801">
            <v>0</v>
          </cell>
          <cell r="M801">
            <v>4800</v>
          </cell>
          <cell r="N801">
            <v>0</v>
          </cell>
        </row>
        <row r="802">
          <cell r="A802" t="str">
            <v>9410</v>
          </cell>
          <cell r="B802" t="str">
            <v>019503600</v>
          </cell>
          <cell r="C802">
            <v>0</v>
          </cell>
          <cell r="D802">
            <v>4800</v>
          </cell>
          <cell r="E802">
            <v>0</v>
          </cell>
          <cell r="F802">
            <v>0</v>
          </cell>
          <cell r="G802">
            <v>0</v>
          </cell>
          <cell r="H802">
            <v>0</v>
          </cell>
          <cell r="I802">
            <v>4800</v>
          </cell>
          <cell r="J802">
            <v>0</v>
          </cell>
          <cell r="K802">
            <v>0</v>
          </cell>
          <cell r="L802">
            <v>0</v>
          </cell>
          <cell r="M802">
            <v>0</v>
          </cell>
          <cell r="N802">
            <v>0</v>
          </cell>
        </row>
        <row r="803">
          <cell r="A803" t="str">
            <v>9410</v>
          </cell>
          <cell r="B803" t="str">
            <v>019503610</v>
          </cell>
          <cell r="C803">
            <v>0</v>
          </cell>
          <cell r="D803">
            <v>4800</v>
          </cell>
          <cell r="E803">
            <v>0</v>
          </cell>
          <cell r="F803">
            <v>0</v>
          </cell>
          <cell r="G803">
            <v>0</v>
          </cell>
          <cell r="H803">
            <v>0</v>
          </cell>
          <cell r="I803">
            <v>4800</v>
          </cell>
          <cell r="J803">
            <v>0</v>
          </cell>
          <cell r="K803">
            <v>0</v>
          </cell>
          <cell r="L803">
            <v>0</v>
          </cell>
          <cell r="M803">
            <v>0</v>
          </cell>
          <cell r="N803">
            <v>0</v>
          </cell>
        </row>
        <row r="804">
          <cell r="A804" t="str">
            <v>9420</v>
          </cell>
          <cell r="B804" t="str">
            <v>010700123</v>
          </cell>
          <cell r="C804">
            <v>0</v>
          </cell>
          <cell r="D804">
            <v>1000</v>
          </cell>
          <cell r="E804">
            <v>0</v>
          </cell>
          <cell r="F804">
            <v>0</v>
          </cell>
          <cell r="G804">
            <v>0</v>
          </cell>
          <cell r="H804">
            <v>0</v>
          </cell>
          <cell r="I804">
            <v>1000</v>
          </cell>
          <cell r="J804">
            <v>0</v>
          </cell>
          <cell r="K804">
            <v>0</v>
          </cell>
          <cell r="L804">
            <v>0</v>
          </cell>
          <cell r="M804">
            <v>0</v>
          </cell>
          <cell r="N804">
            <v>0</v>
          </cell>
        </row>
        <row r="805">
          <cell r="A805" t="str">
            <v>9420</v>
          </cell>
          <cell r="B805" t="str">
            <v>011401962</v>
          </cell>
          <cell r="C805">
            <v>0</v>
          </cell>
          <cell r="D805">
            <v>4000</v>
          </cell>
          <cell r="E805">
            <v>0</v>
          </cell>
          <cell r="F805">
            <v>0</v>
          </cell>
          <cell r="G805">
            <v>0</v>
          </cell>
          <cell r="H805">
            <v>0</v>
          </cell>
          <cell r="I805">
            <v>4000</v>
          </cell>
          <cell r="J805">
            <v>0</v>
          </cell>
          <cell r="K805">
            <v>0</v>
          </cell>
          <cell r="L805">
            <v>0</v>
          </cell>
          <cell r="M805">
            <v>0</v>
          </cell>
          <cell r="N805">
            <v>0</v>
          </cell>
        </row>
        <row r="806">
          <cell r="A806" t="str">
            <v>9420</v>
          </cell>
          <cell r="B806" t="str">
            <v>011402662</v>
          </cell>
          <cell r="C806">
            <v>0</v>
          </cell>
          <cell r="D806">
            <v>1500</v>
          </cell>
          <cell r="E806">
            <v>0</v>
          </cell>
          <cell r="F806">
            <v>0</v>
          </cell>
          <cell r="G806">
            <v>0</v>
          </cell>
          <cell r="H806">
            <v>0</v>
          </cell>
          <cell r="I806">
            <v>1500</v>
          </cell>
          <cell r="J806">
            <v>0</v>
          </cell>
          <cell r="K806">
            <v>0</v>
          </cell>
          <cell r="L806">
            <v>0</v>
          </cell>
          <cell r="M806">
            <v>0</v>
          </cell>
          <cell r="N806">
            <v>0</v>
          </cell>
        </row>
        <row r="807">
          <cell r="A807" t="str">
            <v>9420</v>
          </cell>
          <cell r="B807" t="str">
            <v>011404403</v>
          </cell>
          <cell r="C807">
            <v>0</v>
          </cell>
          <cell r="D807">
            <v>2000</v>
          </cell>
          <cell r="E807">
            <v>2000</v>
          </cell>
          <cell r="F807">
            <v>0</v>
          </cell>
          <cell r="G807">
            <v>0</v>
          </cell>
          <cell r="H807">
            <v>0</v>
          </cell>
          <cell r="I807">
            <v>2000</v>
          </cell>
          <cell r="J807">
            <v>0</v>
          </cell>
          <cell r="K807">
            <v>0</v>
          </cell>
          <cell r="L807">
            <v>2000</v>
          </cell>
          <cell r="M807">
            <v>0</v>
          </cell>
          <cell r="N807">
            <v>0</v>
          </cell>
        </row>
        <row r="808">
          <cell r="A808" t="str">
            <v>9420</v>
          </cell>
          <cell r="B808" t="str">
            <v>011404621</v>
          </cell>
          <cell r="C808">
            <v>0</v>
          </cell>
          <cell r="D808">
            <v>4000</v>
          </cell>
          <cell r="E808">
            <v>4000</v>
          </cell>
          <cell r="F808">
            <v>0</v>
          </cell>
          <cell r="G808">
            <v>0</v>
          </cell>
          <cell r="H808">
            <v>0</v>
          </cell>
          <cell r="I808">
            <v>4000</v>
          </cell>
          <cell r="J808">
            <v>0</v>
          </cell>
          <cell r="K808">
            <v>0</v>
          </cell>
          <cell r="L808">
            <v>4000</v>
          </cell>
          <cell r="M808">
            <v>0</v>
          </cell>
          <cell r="N808">
            <v>0</v>
          </cell>
        </row>
        <row r="809">
          <cell r="A809" t="str">
            <v>9420</v>
          </cell>
          <cell r="B809" t="str">
            <v>011404721</v>
          </cell>
          <cell r="C809">
            <v>0</v>
          </cell>
          <cell r="D809">
            <v>2000</v>
          </cell>
          <cell r="E809">
            <v>0</v>
          </cell>
          <cell r="F809">
            <v>0</v>
          </cell>
          <cell r="G809">
            <v>0</v>
          </cell>
          <cell r="H809">
            <v>0</v>
          </cell>
          <cell r="I809">
            <v>0</v>
          </cell>
          <cell r="J809">
            <v>2000</v>
          </cell>
          <cell r="K809">
            <v>0</v>
          </cell>
          <cell r="L809">
            <v>0</v>
          </cell>
          <cell r="M809">
            <v>0</v>
          </cell>
          <cell r="N809">
            <v>0</v>
          </cell>
        </row>
        <row r="810">
          <cell r="A810" t="str">
            <v>9420</v>
          </cell>
          <cell r="B810" t="str">
            <v>011404740</v>
          </cell>
          <cell r="C810">
            <v>0</v>
          </cell>
          <cell r="D810">
            <v>2000</v>
          </cell>
          <cell r="E810">
            <v>2000</v>
          </cell>
          <cell r="F810">
            <v>0</v>
          </cell>
          <cell r="G810">
            <v>0</v>
          </cell>
          <cell r="H810">
            <v>0</v>
          </cell>
          <cell r="I810">
            <v>2000</v>
          </cell>
          <cell r="J810">
            <v>0</v>
          </cell>
          <cell r="K810">
            <v>0</v>
          </cell>
          <cell r="L810">
            <v>2000</v>
          </cell>
          <cell r="M810">
            <v>0</v>
          </cell>
          <cell r="N810">
            <v>0</v>
          </cell>
        </row>
        <row r="811">
          <cell r="A811" t="str">
            <v>9420</v>
          </cell>
          <cell r="B811" t="str">
            <v>011404852</v>
          </cell>
          <cell r="C811">
            <v>0</v>
          </cell>
          <cell r="D811">
            <v>2000</v>
          </cell>
          <cell r="E811">
            <v>2000</v>
          </cell>
          <cell r="F811">
            <v>0</v>
          </cell>
          <cell r="G811">
            <v>0</v>
          </cell>
          <cell r="H811">
            <v>0</v>
          </cell>
          <cell r="I811">
            <v>0</v>
          </cell>
          <cell r="J811">
            <v>0</v>
          </cell>
          <cell r="K811">
            <v>2000</v>
          </cell>
          <cell r="L811">
            <v>0</v>
          </cell>
          <cell r="M811">
            <v>0</v>
          </cell>
          <cell r="N811">
            <v>2000</v>
          </cell>
        </row>
        <row r="812">
          <cell r="A812" t="str">
            <v>9420</v>
          </cell>
          <cell r="B812" t="str">
            <v>013805962</v>
          </cell>
          <cell r="C812">
            <v>0</v>
          </cell>
          <cell r="D812">
            <v>1000</v>
          </cell>
          <cell r="E812">
            <v>0</v>
          </cell>
          <cell r="F812">
            <v>0</v>
          </cell>
          <cell r="G812">
            <v>0</v>
          </cell>
          <cell r="H812">
            <v>0</v>
          </cell>
          <cell r="I812">
            <v>1000</v>
          </cell>
          <cell r="J812">
            <v>0</v>
          </cell>
          <cell r="K812">
            <v>0</v>
          </cell>
          <cell r="L812">
            <v>0</v>
          </cell>
          <cell r="M812">
            <v>0</v>
          </cell>
          <cell r="N812">
            <v>0</v>
          </cell>
        </row>
        <row r="813">
          <cell r="A813" t="str">
            <v>9420</v>
          </cell>
          <cell r="B813" t="str">
            <v>013806681</v>
          </cell>
          <cell r="C813">
            <v>0</v>
          </cell>
          <cell r="D813">
            <v>2000</v>
          </cell>
          <cell r="E813">
            <v>0</v>
          </cell>
          <cell r="F813">
            <v>0</v>
          </cell>
          <cell r="G813">
            <v>0</v>
          </cell>
          <cell r="H813">
            <v>0</v>
          </cell>
          <cell r="I813">
            <v>0</v>
          </cell>
          <cell r="J813">
            <v>2000</v>
          </cell>
          <cell r="K813">
            <v>0</v>
          </cell>
          <cell r="L813">
            <v>0</v>
          </cell>
          <cell r="M813">
            <v>0</v>
          </cell>
          <cell r="N813">
            <v>0</v>
          </cell>
        </row>
        <row r="814">
          <cell r="A814" t="str">
            <v>9420</v>
          </cell>
          <cell r="B814" t="str">
            <v>013806720</v>
          </cell>
          <cell r="C814">
            <v>0</v>
          </cell>
          <cell r="D814">
            <v>1000</v>
          </cell>
          <cell r="E814">
            <v>0</v>
          </cell>
          <cell r="F814">
            <v>0</v>
          </cell>
          <cell r="G814">
            <v>0</v>
          </cell>
          <cell r="H814">
            <v>0</v>
          </cell>
          <cell r="I814">
            <v>0</v>
          </cell>
          <cell r="J814">
            <v>0</v>
          </cell>
          <cell r="K814">
            <v>1000</v>
          </cell>
          <cell r="L814">
            <v>0</v>
          </cell>
          <cell r="M814">
            <v>0</v>
          </cell>
          <cell r="N814">
            <v>0</v>
          </cell>
        </row>
        <row r="815">
          <cell r="A815" t="str">
            <v>9420</v>
          </cell>
          <cell r="B815" t="str">
            <v>013806841</v>
          </cell>
          <cell r="C815">
            <v>0</v>
          </cell>
          <cell r="D815">
            <v>1000</v>
          </cell>
          <cell r="E815">
            <v>0</v>
          </cell>
          <cell r="F815">
            <v>0</v>
          </cell>
          <cell r="G815">
            <v>0</v>
          </cell>
          <cell r="H815">
            <v>0</v>
          </cell>
          <cell r="I815">
            <v>1000</v>
          </cell>
          <cell r="J815">
            <v>0</v>
          </cell>
          <cell r="K815">
            <v>0</v>
          </cell>
          <cell r="L815">
            <v>0</v>
          </cell>
          <cell r="M815">
            <v>0</v>
          </cell>
          <cell r="N815">
            <v>0</v>
          </cell>
        </row>
        <row r="816">
          <cell r="A816" t="str">
            <v>9420</v>
          </cell>
          <cell r="B816" t="str">
            <v>013808920</v>
          </cell>
          <cell r="C816">
            <v>0</v>
          </cell>
          <cell r="D816">
            <v>4000</v>
          </cell>
          <cell r="E816">
            <v>4000</v>
          </cell>
          <cell r="F816">
            <v>0</v>
          </cell>
          <cell r="G816">
            <v>0</v>
          </cell>
          <cell r="H816">
            <v>0</v>
          </cell>
          <cell r="I816">
            <v>4000</v>
          </cell>
          <cell r="J816">
            <v>0</v>
          </cell>
          <cell r="K816">
            <v>0</v>
          </cell>
          <cell r="L816">
            <v>4000</v>
          </cell>
          <cell r="M816">
            <v>0</v>
          </cell>
          <cell r="N816">
            <v>0</v>
          </cell>
        </row>
        <row r="817">
          <cell r="A817" t="str">
            <v>9420</v>
          </cell>
          <cell r="B817" t="str">
            <v>013808930</v>
          </cell>
          <cell r="C817">
            <v>0</v>
          </cell>
          <cell r="D817">
            <v>4000</v>
          </cell>
          <cell r="E817">
            <v>4000</v>
          </cell>
          <cell r="F817">
            <v>0</v>
          </cell>
          <cell r="G817">
            <v>0</v>
          </cell>
          <cell r="H817">
            <v>0</v>
          </cell>
          <cell r="I817">
            <v>4000</v>
          </cell>
          <cell r="J817">
            <v>0</v>
          </cell>
          <cell r="K817">
            <v>0</v>
          </cell>
          <cell r="L817">
            <v>4000</v>
          </cell>
          <cell r="M817">
            <v>0</v>
          </cell>
          <cell r="N817">
            <v>0</v>
          </cell>
        </row>
        <row r="818">
          <cell r="A818" t="str">
            <v>9420</v>
          </cell>
          <cell r="B818" t="str">
            <v>015202341</v>
          </cell>
          <cell r="C818">
            <v>0</v>
          </cell>
          <cell r="D818">
            <v>8000</v>
          </cell>
          <cell r="E818">
            <v>8000</v>
          </cell>
          <cell r="F818">
            <v>0</v>
          </cell>
          <cell r="G818">
            <v>0</v>
          </cell>
          <cell r="H818">
            <v>0</v>
          </cell>
          <cell r="I818">
            <v>8000</v>
          </cell>
          <cell r="J818">
            <v>0</v>
          </cell>
          <cell r="K818">
            <v>0</v>
          </cell>
          <cell r="L818">
            <v>8000</v>
          </cell>
          <cell r="M818">
            <v>0</v>
          </cell>
          <cell r="N818">
            <v>0</v>
          </cell>
        </row>
        <row r="819">
          <cell r="A819" t="str">
            <v>9420</v>
          </cell>
          <cell r="B819" t="str">
            <v>015202630</v>
          </cell>
          <cell r="C819">
            <v>0</v>
          </cell>
          <cell r="D819">
            <v>2000</v>
          </cell>
          <cell r="E819">
            <v>2000</v>
          </cell>
          <cell r="F819">
            <v>0</v>
          </cell>
          <cell r="G819">
            <v>0</v>
          </cell>
          <cell r="H819">
            <v>0</v>
          </cell>
          <cell r="I819">
            <v>2000</v>
          </cell>
          <cell r="J819">
            <v>0</v>
          </cell>
          <cell r="K819">
            <v>0</v>
          </cell>
          <cell r="L819">
            <v>2000</v>
          </cell>
          <cell r="M819">
            <v>0</v>
          </cell>
          <cell r="N819">
            <v>0</v>
          </cell>
        </row>
        <row r="820">
          <cell r="A820" t="str">
            <v>9420</v>
          </cell>
          <cell r="B820" t="str">
            <v>015202820</v>
          </cell>
          <cell r="C820">
            <v>0</v>
          </cell>
          <cell r="D820">
            <v>2000</v>
          </cell>
          <cell r="E820">
            <v>2000</v>
          </cell>
          <cell r="F820">
            <v>0</v>
          </cell>
          <cell r="G820">
            <v>0</v>
          </cell>
          <cell r="H820">
            <v>0</v>
          </cell>
          <cell r="I820">
            <v>2000</v>
          </cell>
          <cell r="J820">
            <v>0</v>
          </cell>
          <cell r="K820">
            <v>0</v>
          </cell>
          <cell r="L820">
            <v>2000</v>
          </cell>
          <cell r="M820">
            <v>0</v>
          </cell>
          <cell r="N820">
            <v>0</v>
          </cell>
        </row>
        <row r="821">
          <cell r="A821" t="str">
            <v>9420</v>
          </cell>
          <cell r="B821" t="str">
            <v>015502371</v>
          </cell>
          <cell r="C821">
            <v>0</v>
          </cell>
          <cell r="D821">
            <v>500</v>
          </cell>
          <cell r="E821">
            <v>0</v>
          </cell>
          <cell r="F821">
            <v>0</v>
          </cell>
          <cell r="G821">
            <v>0</v>
          </cell>
          <cell r="H821">
            <v>0</v>
          </cell>
          <cell r="I821">
            <v>500</v>
          </cell>
          <cell r="J821">
            <v>0</v>
          </cell>
          <cell r="K821">
            <v>0</v>
          </cell>
          <cell r="L821">
            <v>0</v>
          </cell>
          <cell r="M821">
            <v>0</v>
          </cell>
          <cell r="N821">
            <v>0</v>
          </cell>
        </row>
      </sheetData>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7"/>
  <sheetViews>
    <sheetView showGridLines="0" tabSelected="1" zoomScale="85" zoomScaleNormal="85" workbookViewId="0">
      <pane ySplit="8" topLeftCell="A9" activePane="bottomLeft" state="frozen"/>
      <selection pane="bottomLeft" activeCell="B13" sqref="B13"/>
    </sheetView>
  </sheetViews>
  <sheetFormatPr defaultColWidth="8.6640625" defaultRowHeight="14.4"/>
  <cols>
    <col min="1" max="1" width="6" customWidth="1"/>
    <col min="2" max="2" width="34" customWidth="1"/>
    <col min="3" max="3" width="46" customWidth="1"/>
    <col min="4" max="4" width="8" customWidth="1"/>
  </cols>
  <sheetData>
    <row r="1" spans="1:4" ht="45.75" customHeight="1">
      <c r="A1" s="200" t="s">
        <v>0</v>
      </c>
      <c r="B1" s="199"/>
      <c r="C1" s="199"/>
      <c r="D1" s="199"/>
    </row>
    <row r="3" spans="1:4" ht="30" customHeight="1">
      <c r="A3" s="198" t="s">
        <v>1</v>
      </c>
      <c r="B3" s="199"/>
      <c r="C3" s="201" t="s">
        <v>2</v>
      </c>
      <c r="D3" s="199"/>
    </row>
    <row r="4" spans="1:4" ht="30" customHeight="1">
      <c r="A4" s="198" t="s">
        <v>3</v>
      </c>
      <c r="B4" s="199"/>
      <c r="C4" s="201" t="s">
        <v>4</v>
      </c>
      <c r="D4" s="199"/>
    </row>
    <row r="5" spans="1:4" ht="30" customHeight="1">
      <c r="A5" s="198" t="s">
        <v>5</v>
      </c>
      <c r="B5" s="199"/>
      <c r="C5" s="201" t="s">
        <v>6</v>
      </c>
      <c r="D5" s="199"/>
    </row>
    <row r="6" spans="1:4" ht="45" customHeight="1">
      <c r="A6" s="198" t="s">
        <v>7</v>
      </c>
      <c r="B6" s="199"/>
      <c r="C6" s="201" t="s">
        <v>8</v>
      </c>
      <c r="D6" s="199"/>
    </row>
    <row r="8" spans="1:4" ht="45.75" customHeight="1">
      <c r="A8" s="4" t="s">
        <v>9</v>
      </c>
      <c r="B8" s="4" t="s">
        <v>10</v>
      </c>
      <c r="C8" s="4" t="s">
        <v>11</v>
      </c>
      <c r="D8" s="4" t="s">
        <v>12</v>
      </c>
    </row>
    <row r="9" spans="1:4" ht="30" customHeight="1">
      <c r="A9" s="5">
        <v>1</v>
      </c>
      <c r="B9" s="5" t="s">
        <v>13</v>
      </c>
      <c r="C9" s="5" t="s">
        <v>14</v>
      </c>
      <c r="D9" s="5" t="s">
        <v>15</v>
      </c>
    </row>
    <row r="10" spans="1:4" ht="30" customHeight="1">
      <c r="A10" s="5">
        <v>2</v>
      </c>
      <c r="B10" s="5" t="s">
        <v>16</v>
      </c>
      <c r="C10" s="5" t="s">
        <v>17</v>
      </c>
      <c r="D10" s="5" t="s">
        <v>18</v>
      </c>
    </row>
    <row r="11" spans="1:4" ht="30" customHeight="1">
      <c r="A11" s="5">
        <v>3</v>
      </c>
      <c r="B11" s="5" t="s">
        <v>19</v>
      </c>
      <c r="C11" s="5" t="s">
        <v>20</v>
      </c>
      <c r="D11" s="5" t="s">
        <v>21</v>
      </c>
    </row>
    <row r="12" spans="1:4" ht="30" customHeight="1">
      <c r="A12" s="5">
        <v>4</v>
      </c>
      <c r="B12" s="5" t="s">
        <v>22</v>
      </c>
      <c r="C12" s="5" t="s">
        <v>23</v>
      </c>
      <c r="D12" s="5" t="s">
        <v>24</v>
      </c>
    </row>
    <row r="13" spans="1:4" ht="30" customHeight="1">
      <c r="A13" s="5">
        <v>5</v>
      </c>
      <c r="B13" s="5" t="s">
        <v>25</v>
      </c>
      <c r="C13" s="5" t="s">
        <v>26</v>
      </c>
      <c r="D13" s="5" t="s">
        <v>27</v>
      </c>
    </row>
    <row r="14" spans="1:4" ht="30" customHeight="1">
      <c r="A14" s="5">
        <v>6</v>
      </c>
      <c r="B14" s="5" t="s">
        <v>673</v>
      </c>
      <c r="C14" s="5" t="s">
        <v>674</v>
      </c>
      <c r="D14" s="5" t="s">
        <v>675</v>
      </c>
    </row>
    <row r="15" spans="1:4" ht="30" customHeight="1">
      <c r="A15" s="5">
        <v>7</v>
      </c>
      <c r="B15" s="5" t="s">
        <v>676</v>
      </c>
      <c r="C15" s="5" t="s">
        <v>677</v>
      </c>
      <c r="D15" s="5" t="s">
        <v>678</v>
      </c>
    </row>
    <row r="16" spans="1:4" ht="30" customHeight="1">
      <c r="A16" s="5">
        <v>8</v>
      </c>
      <c r="B16" s="5" t="s">
        <v>679</v>
      </c>
      <c r="C16" s="5" t="s">
        <v>680</v>
      </c>
      <c r="D16" s="5" t="s">
        <v>681</v>
      </c>
    </row>
    <row r="17" spans="1:4" ht="30" customHeight="1">
      <c r="A17" s="5">
        <v>9</v>
      </c>
      <c r="B17" s="5" t="s">
        <v>682</v>
      </c>
      <c r="C17" s="5" t="s">
        <v>683</v>
      </c>
      <c r="D17" s="5" t="s">
        <v>684</v>
      </c>
    </row>
  </sheetData>
  <mergeCells count="9">
    <mergeCell ref="A4:B4"/>
    <mergeCell ref="A1:D1"/>
    <mergeCell ref="C6:D6"/>
    <mergeCell ref="C5:D5"/>
    <mergeCell ref="A5:B5"/>
    <mergeCell ref="C3:D3"/>
    <mergeCell ref="A3:B3"/>
    <mergeCell ref="A6:B6"/>
    <mergeCell ref="C4:D4"/>
  </mergeCells>
  <pageMargins left="0.4" right="0.4" top="0.5" bottom="0.5"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5"/>
  <sheetViews>
    <sheetView showGridLines="0" zoomScaleNormal="100" workbookViewId="0">
      <pane ySplit="3" topLeftCell="A4" activePane="bottomLeft" state="frozen"/>
      <selection pane="bottomLeft" activeCell="C8" sqref="C8"/>
    </sheetView>
  </sheetViews>
  <sheetFormatPr defaultColWidth="8.6640625" defaultRowHeight="14.4"/>
  <cols>
    <col min="1" max="1" width="5" customWidth="1"/>
    <col min="2" max="2" width="12" customWidth="1"/>
    <col min="3" max="4" width="22" customWidth="1"/>
    <col min="5" max="6" width="14" customWidth="1"/>
    <col min="7" max="8" width="16" customWidth="1"/>
    <col min="9" max="9" width="14" customWidth="1"/>
    <col min="10" max="10" width="10" customWidth="1"/>
    <col min="11" max="11" width="16" customWidth="1"/>
  </cols>
  <sheetData>
    <row r="1" spans="1:11" ht="27.6" customHeight="1">
      <c r="A1" s="200" t="s">
        <v>28</v>
      </c>
      <c r="B1" s="199"/>
      <c r="C1" s="199"/>
      <c r="D1" s="199"/>
      <c r="E1" s="199"/>
      <c r="F1" s="199"/>
      <c r="G1" s="199"/>
      <c r="H1" s="199"/>
      <c r="I1" s="199"/>
      <c r="J1" s="199"/>
      <c r="K1" s="199"/>
    </row>
    <row r="2" spans="1:11" ht="10.199999999999999" customHeight="1"/>
    <row r="3" spans="1:11" ht="48.6" customHeight="1">
      <c r="A3" s="4" t="s">
        <v>9</v>
      </c>
      <c r="B3" s="4" t="s">
        <v>29</v>
      </c>
      <c r="C3" s="4" t="s">
        <v>30</v>
      </c>
      <c r="D3" s="4" t="s">
        <v>31</v>
      </c>
      <c r="E3" s="4" t="s">
        <v>32</v>
      </c>
      <c r="F3" s="4" t="s">
        <v>33</v>
      </c>
      <c r="G3" s="4" t="s">
        <v>34</v>
      </c>
      <c r="H3" s="4" t="s">
        <v>35</v>
      </c>
      <c r="I3" s="4" t="s">
        <v>36</v>
      </c>
      <c r="J3" s="4" t="s">
        <v>37</v>
      </c>
      <c r="K3" s="4" t="s">
        <v>38</v>
      </c>
    </row>
    <row r="4" spans="1:11" ht="18" customHeight="1">
      <c r="A4" s="202" t="s">
        <v>39</v>
      </c>
      <c r="B4" s="199"/>
      <c r="C4" s="199"/>
      <c r="D4" s="199"/>
      <c r="E4" s="199"/>
      <c r="F4" s="199"/>
      <c r="G4" s="199"/>
      <c r="H4" s="199"/>
      <c r="I4" s="199"/>
      <c r="J4" s="199"/>
      <c r="K4" s="199"/>
    </row>
    <row r="5" spans="1:11" ht="27.75" customHeight="1">
      <c r="A5" s="5">
        <v>1</v>
      </c>
      <c r="B5" s="5"/>
      <c r="C5" s="5" t="s">
        <v>40</v>
      </c>
      <c r="D5" s="5" t="s">
        <v>41</v>
      </c>
      <c r="E5" s="5" t="s">
        <v>42</v>
      </c>
      <c r="F5" s="5"/>
      <c r="G5" s="5"/>
      <c r="H5" s="5" t="s">
        <v>43</v>
      </c>
      <c r="I5" s="5"/>
      <c r="J5" s="5"/>
      <c r="K5" s="5"/>
    </row>
    <row r="6" spans="1:11" ht="27.75" customHeight="1">
      <c r="A6" s="5">
        <v>2</v>
      </c>
      <c r="B6" s="5"/>
      <c r="C6" s="5" t="s">
        <v>44</v>
      </c>
      <c r="D6" s="5" t="s">
        <v>45</v>
      </c>
      <c r="E6" s="5" t="s">
        <v>46</v>
      </c>
      <c r="F6" s="5"/>
      <c r="G6" s="5"/>
      <c r="H6" s="5" t="s">
        <v>47</v>
      </c>
      <c r="I6" s="5"/>
      <c r="J6" s="5"/>
      <c r="K6" s="5"/>
    </row>
    <row r="7" spans="1:11" ht="27.75" customHeight="1">
      <c r="A7" s="5">
        <v>3</v>
      </c>
      <c r="B7" s="5"/>
      <c r="C7" s="5" t="s">
        <v>48</v>
      </c>
      <c r="D7" s="5" t="s">
        <v>45</v>
      </c>
      <c r="E7" s="5" t="s">
        <v>46</v>
      </c>
      <c r="F7" s="5"/>
      <c r="G7" s="5"/>
      <c r="H7" s="5" t="s">
        <v>47</v>
      </c>
      <c r="I7" s="5"/>
      <c r="J7" s="5"/>
      <c r="K7" s="5"/>
    </row>
    <row r="8" spans="1:11" ht="27.75" customHeight="1">
      <c r="A8" s="5">
        <v>4</v>
      </c>
      <c r="B8" s="5"/>
      <c r="C8" s="5" t="s">
        <v>49</v>
      </c>
      <c r="D8" s="5" t="s">
        <v>50</v>
      </c>
      <c r="E8" s="5" t="s">
        <v>51</v>
      </c>
      <c r="F8" s="5"/>
      <c r="G8" s="5"/>
      <c r="H8" s="5" t="s">
        <v>43</v>
      </c>
      <c r="I8" s="5"/>
      <c r="J8" s="5"/>
      <c r="K8" s="5"/>
    </row>
    <row r="9" spans="1:11" ht="27.75" customHeight="1">
      <c r="A9" s="5">
        <v>5</v>
      </c>
      <c r="B9" s="5"/>
      <c r="C9" s="5" t="s">
        <v>52</v>
      </c>
      <c r="D9" s="5" t="s">
        <v>53</v>
      </c>
      <c r="E9" s="5" t="s">
        <v>54</v>
      </c>
      <c r="F9" s="5"/>
      <c r="G9" s="5"/>
      <c r="H9" s="5" t="s">
        <v>47</v>
      </c>
      <c r="I9" s="5"/>
      <c r="J9" s="5"/>
      <c r="K9" s="5"/>
    </row>
    <row r="10" spans="1:11" ht="27.75" customHeight="1">
      <c r="A10" s="5">
        <v>6</v>
      </c>
      <c r="B10" s="5"/>
      <c r="C10" s="5" t="s">
        <v>55</v>
      </c>
      <c r="D10" s="5" t="s">
        <v>56</v>
      </c>
      <c r="E10" s="5" t="s">
        <v>57</v>
      </c>
      <c r="F10" s="5"/>
      <c r="G10" s="5"/>
      <c r="H10" s="5" t="s">
        <v>43</v>
      </c>
      <c r="I10" s="5"/>
      <c r="J10" s="5"/>
      <c r="K10" s="5"/>
    </row>
    <row r="11" spans="1:11" ht="27.75" customHeight="1">
      <c r="A11" s="5">
        <v>7</v>
      </c>
      <c r="B11" s="5"/>
      <c r="C11" s="5" t="s">
        <v>58</v>
      </c>
      <c r="D11" s="5" t="s">
        <v>59</v>
      </c>
      <c r="E11" s="5" t="s">
        <v>60</v>
      </c>
      <c r="F11" s="5"/>
      <c r="G11" s="5"/>
      <c r="H11" s="5" t="s">
        <v>43</v>
      </c>
      <c r="I11" s="5"/>
      <c r="J11" s="5"/>
      <c r="K11" s="5"/>
    </row>
    <row r="12" spans="1:11" ht="27.75" customHeight="1">
      <c r="A12" s="5">
        <v>8</v>
      </c>
      <c r="B12" s="5"/>
      <c r="C12" s="5" t="s">
        <v>61</v>
      </c>
      <c r="D12" s="5" t="s">
        <v>45</v>
      </c>
      <c r="E12" s="5" t="s">
        <v>46</v>
      </c>
      <c r="F12" s="5"/>
      <c r="G12" s="5"/>
      <c r="H12" s="5" t="s">
        <v>47</v>
      </c>
      <c r="I12" s="5"/>
      <c r="J12" s="5"/>
      <c r="K12" s="5"/>
    </row>
    <row r="13" spans="1:11" ht="27.75" customHeight="1">
      <c r="A13" s="5">
        <v>9</v>
      </c>
      <c r="B13" s="5"/>
      <c r="C13" s="5" t="s">
        <v>62</v>
      </c>
      <c r="D13" s="5" t="s">
        <v>45</v>
      </c>
      <c r="E13" s="5" t="s">
        <v>46</v>
      </c>
      <c r="F13" s="5"/>
      <c r="G13" s="5"/>
      <c r="H13" s="5" t="s">
        <v>47</v>
      </c>
      <c r="I13" s="5"/>
      <c r="J13" s="5"/>
      <c r="K13" s="5"/>
    </row>
    <row r="14" spans="1:11" ht="27.75" customHeight="1">
      <c r="A14" s="5">
        <v>10</v>
      </c>
      <c r="B14" s="5"/>
      <c r="C14" s="5" t="s">
        <v>63</v>
      </c>
      <c r="D14" s="5" t="s">
        <v>64</v>
      </c>
      <c r="E14" s="5" t="s">
        <v>46</v>
      </c>
      <c r="F14" s="5"/>
      <c r="G14" s="5"/>
      <c r="H14" s="5" t="s">
        <v>47</v>
      </c>
      <c r="I14" s="5"/>
      <c r="J14" s="5"/>
      <c r="K14" s="5"/>
    </row>
    <row r="15" spans="1:11" ht="27.75" customHeight="1">
      <c r="A15" s="5">
        <v>11</v>
      </c>
      <c r="B15" s="5"/>
      <c r="C15" s="5" t="s">
        <v>65</v>
      </c>
      <c r="D15" s="5" t="s">
        <v>66</v>
      </c>
      <c r="E15" s="5" t="s">
        <v>67</v>
      </c>
      <c r="F15" s="5"/>
      <c r="G15" s="5"/>
      <c r="H15" s="5" t="s">
        <v>43</v>
      </c>
      <c r="I15" s="5"/>
      <c r="J15" s="5"/>
      <c r="K15" s="5"/>
    </row>
    <row r="16" spans="1:11" ht="21.75" customHeight="1">
      <c r="A16" s="5">
        <v>12</v>
      </c>
      <c r="B16" s="5"/>
      <c r="C16" s="5"/>
      <c r="D16" s="5"/>
      <c r="E16" s="5"/>
      <c r="F16" s="5"/>
      <c r="G16" s="5"/>
      <c r="H16" s="5"/>
      <c r="I16" s="5"/>
      <c r="J16" s="5"/>
      <c r="K16" s="5"/>
    </row>
    <row r="17" spans="1:11" ht="21.75" customHeight="1">
      <c r="A17" s="5">
        <v>13</v>
      </c>
      <c r="B17" s="5"/>
      <c r="C17" s="5"/>
      <c r="D17" s="5"/>
      <c r="E17" s="5"/>
      <c r="F17" s="5"/>
      <c r="G17" s="5"/>
      <c r="H17" s="5"/>
      <c r="I17" s="5"/>
      <c r="J17" s="5"/>
      <c r="K17" s="5"/>
    </row>
    <row r="18" spans="1:11" ht="21.75" customHeight="1">
      <c r="A18" s="5">
        <v>14</v>
      </c>
      <c r="B18" s="5"/>
      <c r="C18" s="5"/>
      <c r="D18" s="5"/>
      <c r="E18" s="5"/>
      <c r="F18" s="5"/>
      <c r="G18" s="5"/>
      <c r="H18" s="5"/>
      <c r="I18" s="5"/>
      <c r="J18" s="5"/>
      <c r="K18" s="5"/>
    </row>
    <row r="19" spans="1:11" ht="21.75" customHeight="1">
      <c r="A19" s="5">
        <v>15</v>
      </c>
      <c r="B19" s="5"/>
      <c r="C19" s="5"/>
      <c r="D19" s="5"/>
      <c r="E19" s="5"/>
      <c r="F19" s="5"/>
      <c r="G19" s="5"/>
      <c r="H19" s="5"/>
      <c r="I19" s="5"/>
      <c r="J19" s="5"/>
      <c r="K19" s="5"/>
    </row>
    <row r="20" spans="1:11" ht="21.75" customHeight="1">
      <c r="A20" s="5">
        <v>16</v>
      </c>
      <c r="B20" s="5"/>
      <c r="C20" s="5"/>
      <c r="D20" s="5"/>
      <c r="E20" s="5"/>
      <c r="F20" s="5"/>
      <c r="G20" s="5"/>
      <c r="H20" s="5"/>
      <c r="I20" s="5"/>
      <c r="J20" s="5"/>
      <c r="K20" s="5"/>
    </row>
    <row r="21" spans="1:11" ht="21.75" customHeight="1">
      <c r="A21" s="5">
        <v>17</v>
      </c>
      <c r="B21" s="5"/>
      <c r="C21" s="5"/>
      <c r="D21" s="5"/>
      <c r="E21" s="5"/>
      <c r="F21" s="5"/>
      <c r="G21" s="5"/>
      <c r="H21" s="5"/>
      <c r="I21" s="5"/>
      <c r="J21" s="5"/>
      <c r="K21" s="5"/>
    </row>
    <row r="22" spans="1:11" ht="21.75" customHeight="1">
      <c r="A22" s="5">
        <v>18</v>
      </c>
      <c r="B22" s="5"/>
      <c r="C22" s="5"/>
      <c r="D22" s="5"/>
      <c r="E22" s="5"/>
      <c r="F22" s="5"/>
      <c r="G22" s="5"/>
      <c r="H22" s="5"/>
      <c r="I22" s="5"/>
      <c r="J22" s="5"/>
      <c r="K22" s="5"/>
    </row>
    <row r="23" spans="1:11" ht="21.75" customHeight="1">
      <c r="A23" s="5">
        <v>19</v>
      </c>
      <c r="B23" s="5"/>
      <c r="C23" s="5"/>
      <c r="D23" s="5"/>
      <c r="E23" s="5"/>
      <c r="F23" s="5"/>
      <c r="G23" s="5"/>
      <c r="H23" s="5"/>
      <c r="I23" s="5"/>
      <c r="J23" s="5"/>
      <c r="K23" s="5"/>
    </row>
    <row r="24" spans="1:11" ht="21.75" customHeight="1">
      <c r="A24" s="5">
        <v>20</v>
      </c>
      <c r="B24" s="5"/>
      <c r="C24" s="5"/>
      <c r="D24" s="5"/>
      <c r="E24" s="5"/>
      <c r="F24" s="5"/>
      <c r="G24" s="5"/>
      <c r="H24" s="5"/>
      <c r="I24" s="5"/>
      <c r="J24" s="5"/>
      <c r="K24" s="5"/>
    </row>
    <row r="25" spans="1:11" ht="21.75" customHeight="1">
      <c r="A25" s="5">
        <v>21</v>
      </c>
      <c r="B25" s="5"/>
      <c r="C25" s="5"/>
      <c r="D25" s="5"/>
      <c r="E25" s="5"/>
      <c r="F25" s="5"/>
      <c r="G25" s="5"/>
      <c r="H25" s="5"/>
      <c r="I25" s="5"/>
      <c r="J25" s="5"/>
      <c r="K25" s="5"/>
    </row>
  </sheetData>
  <mergeCells count="2">
    <mergeCell ref="A1:K1"/>
    <mergeCell ref="A4:K4"/>
  </mergeCells>
  <dataValidations count="2">
    <dataValidation type="list" allowBlank="1" sqref="J5:J25" xr:uid="{00000000-0002-0000-0100-000000000000}">
      <formula1>"A,B,C,D"</formula1>
      <formula2>0</formula2>
    </dataValidation>
    <dataValidation type="list" allowBlank="1" sqref="H5:H25" xr:uid="{00000000-0002-0000-0100-000001000000}">
      <formula1>"Mua hàng,IQC,Kỹ thuật,Mua hàng + IQC,Mua hàng + IQC + Kỹ thuật"</formula1>
      <formula2>0</formula2>
    </dataValidation>
  </dataValidations>
  <pageMargins left="0.4" right="0.4" top="0.5" bottom="0.5" header="0.511811023622047" footer="0.511811023622047"/>
  <pageSetup scale="79" fitToHeight="0" orientation="landscape" horizontalDpi="300" verticalDpi="300"/>
  <headerFooter>
    <oddFooter>&amp;LQLGCN-01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6"/>
  <sheetViews>
    <sheetView showGridLines="0" zoomScaleNormal="100" workbookViewId="0">
      <selection activeCell="B13" sqref="B13"/>
    </sheetView>
  </sheetViews>
  <sheetFormatPr defaultColWidth="8.6640625" defaultRowHeight="14.4"/>
  <cols>
    <col min="1" max="1" width="26" customWidth="1"/>
    <col min="2" max="2" width="34" customWidth="1"/>
    <col min="3" max="3" width="12" customWidth="1"/>
    <col min="4" max="4" width="10" customWidth="1"/>
    <col min="5" max="5" width="14" customWidth="1"/>
    <col min="6" max="6" width="26" customWidth="1"/>
  </cols>
  <sheetData>
    <row r="1" spans="1:6" ht="45.75" customHeight="1">
      <c r="A1" s="200" t="s">
        <v>68</v>
      </c>
      <c r="B1" s="199"/>
      <c r="C1" s="199"/>
      <c r="D1" s="199"/>
      <c r="E1" s="199"/>
      <c r="F1" s="199"/>
    </row>
    <row r="3" spans="1:6" ht="26.4" customHeight="1">
      <c r="A3" s="3" t="s">
        <v>69</v>
      </c>
      <c r="B3" s="203"/>
      <c r="C3" s="204"/>
      <c r="D3" s="204"/>
      <c r="E3" s="204"/>
      <c r="F3" s="204"/>
    </row>
    <row r="4" spans="1:6" ht="26.4" customHeight="1">
      <c r="A4" s="3" t="s">
        <v>70</v>
      </c>
      <c r="B4" s="203"/>
      <c r="C4" s="204"/>
      <c r="D4" s="204"/>
      <c r="E4" s="204"/>
      <c r="F4" s="204"/>
    </row>
    <row r="5" spans="1:6" ht="26.4" customHeight="1">
      <c r="A5" s="3" t="s">
        <v>71</v>
      </c>
      <c r="B5" s="203"/>
      <c r="C5" s="204"/>
      <c r="D5" s="204"/>
      <c r="E5" s="204"/>
      <c r="F5" s="204"/>
    </row>
    <row r="6" spans="1:6" ht="26.4" customHeight="1">
      <c r="A6" s="3" t="s">
        <v>72</v>
      </c>
      <c r="B6" s="203"/>
      <c r="C6" s="204"/>
      <c r="D6" s="204"/>
      <c r="E6" s="204"/>
      <c r="F6" s="204"/>
    </row>
    <row r="8" spans="1:6" ht="39.75" customHeight="1">
      <c r="A8" s="4" t="s">
        <v>73</v>
      </c>
      <c r="B8" s="4" t="s">
        <v>74</v>
      </c>
      <c r="C8" s="4" t="s">
        <v>75</v>
      </c>
      <c r="D8" s="4" t="s">
        <v>76</v>
      </c>
      <c r="E8" s="4" t="s">
        <v>77</v>
      </c>
      <c r="F8" s="4" t="s">
        <v>78</v>
      </c>
    </row>
    <row r="9" spans="1:6" ht="31.5" customHeight="1">
      <c r="A9" s="5" t="s">
        <v>79</v>
      </c>
      <c r="B9" s="5" t="s">
        <v>80</v>
      </c>
      <c r="C9" s="5">
        <v>25</v>
      </c>
      <c r="D9" s="5"/>
      <c r="E9" s="5">
        <f t="shared" ref="E9:E14" si="0">C9*D9/5</f>
        <v>0</v>
      </c>
      <c r="F9" s="5"/>
    </row>
    <row r="10" spans="1:6" ht="39.6" customHeight="1">
      <c r="A10" s="5" t="s">
        <v>81</v>
      </c>
      <c r="B10" s="5" t="s">
        <v>82</v>
      </c>
      <c r="C10" s="5">
        <v>25</v>
      </c>
      <c r="D10" s="5"/>
      <c r="E10" s="5">
        <f t="shared" si="0"/>
        <v>0</v>
      </c>
      <c r="F10" s="14" t="s">
        <v>83</v>
      </c>
    </row>
    <row r="11" spans="1:6" ht="31.5" customHeight="1">
      <c r="A11" s="5" t="s">
        <v>84</v>
      </c>
      <c r="B11" s="5" t="s">
        <v>85</v>
      </c>
      <c r="C11" s="5">
        <v>15</v>
      </c>
      <c r="D11" s="5"/>
      <c r="E11" s="5">
        <f t="shared" si="0"/>
        <v>0</v>
      </c>
      <c r="F11" s="5"/>
    </row>
    <row r="12" spans="1:6" ht="31.5" customHeight="1">
      <c r="A12" s="5" t="s">
        <v>86</v>
      </c>
      <c r="B12" s="5" t="s">
        <v>87</v>
      </c>
      <c r="C12" s="5">
        <v>15</v>
      </c>
      <c r="D12" s="5"/>
      <c r="E12" s="5">
        <f t="shared" si="0"/>
        <v>0</v>
      </c>
      <c r="F12" s="5"/>
    </row>
    <row r="13" spans="1:6" ht="31.5" customHeight="1">
      <c r="A13" s="5" t="s">
        <v>88</v>
      </c>
      <c r="B13" s="5" t="s">
        <v>89</v>
      </c>
      <c r="C13" s="5">
        <v>10</v>
      </c>
      <c r="D13" s="5"/>
      <c r="E13" s="5">
        <f t="shared" si="0"/>
        <v>0</v>
      </c>
      <c r="F13" s="5"/>
    </row>
    <row r="14" spans="1:6" ht="31.5" customHeight="1">
      <c r="A14" s="5" t="s">
        <v>90</v>
      </c>
      <c r="B14" s="5" t="s">
        <v>91</v>
      </c>
      <c r="C14" s="5">
        <v>10</v>
      </c>
      <c r="D14" s="5"/>
      <c r="E14" s="5">
        <f t="shared" si="0"/>
        <v>0</v>
      </c>
      <c r="F14" s="5"/>
    </row>
    <row r="15" spans="1:6" ht="24" customHeight="1">
      <c r="A15" s="207" t="s">
        <v>92</v>
      </c>
      <c r="B15" s="206"/>
      <c r="C15" s="2">
        <f>SUM(C9:C14)</f>
        <v>100</v>
      </c>
      <c r="D15" s="6"/>
      <c r="E15" s="2">
        <f>SUM(E9:E14)</f>
        <v>0</v>
      </c>
      <c r="F15" s="6"/>
    </row>
    <row r="16" spans="1:6" ht="31.5" customHeight="1">
      <c r="A16" s="205" t="s">
        <v>93</v>
      </c>
      <c r="B16" s="206"/>
      <c r="C16" s="208" t="str">
        <f>IF(E15&gt;=80,"Đạt",IF(E15&gt;=60,"Đạt có điều kiện","Không đạt"))</f>
        <v>Không đạt</v>
      </c>
      <c r="D16" s="204"/>
      <c r="E16" s="204"/>
      <c r="F16" s="206"/>
    </row>
  </sheetData>
  <mergeCells count="8">
    <mergeCell ref="B4:F4"/>
    <mergeCell ref="A16:B16"/>
    <mergeCell ref="B6:F6"/>
    <mergeCell ref="A15:B15"/>
    <mergeCell ref="A1:F1"/>
    <mergeCell ref="B3:F3"/>
    <mergeCell ref="B5:F5"/>
    <mergeCell ref="C16:F16"/>
  </mergeCells>
  <dataValidations count="1">
    <dataValidation type="list" allowBlank="1" sqref="D9:D14" xr:uid="{00000000-0002-0000-0200-000000000000}">
      <formula1>"1,2,3,4,5"</formula1>
      <formula2>0</formula2>
    </dataValidation>
  </dataValidations>
  <pageMargins left="0.4" right="0.4" top="0.5" bottom="0.5" header="0.511811023622047" footer="0.511811023622047"/>
  <pageSetup fitToHeight="0" orientation="landscape" horizontalDpi="300" verticalDpi="300"/>
  <headerFooter>
    <oddFooter>&amp;LQLGCN-02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58"/>
  <sheetViews>
    <sheetView showGridLines="0" zoomScaleNormal="100" workbookViewId="0">
      <pane xSplit="2" ySplit="9" topLeftCell="C53" activePane="bottomRight" state="frozen"/>
      <selection pane="topRight" activeCell="C1" sqref="C1"/>
      <selection pane="bottomLeft" activeCell="A10" sqref="A10"/>
      <selection pane="bottomRight" activeCell="A13" sqref="A13:A17"/>
    </sheetView>
  </sheetViews>
  <sheetFormatPr defaultColWidth="8.6640625" defaultRowHeight="14.4"/>
  <cols>
    <col min="1" max="1" width="16" customWidth="1"/>
    <col min="2" max="2" width="40" customWidth="1"/>
    <col min="3" max="6" width="5" customWidth="1"/>
    <col min="7" max="7" width="9" customWidth="1"/>
    <col min="8" max="8" width="5" customWidth="1"/>
    <col min="9" max="9" width="13" customWidth="1"/>
    <col min="10" max="10" width="10" customWidth="1"/>
    <col min="11" max="11" width="16.109375" customWidth="1"/>
    <col min="12" max="12" width="9" customWidth="1"/>
    <col min="13" max="13" width="16" customWidth="1"/>
  </cols>
  <sheetData>
    <row r="1" spans="1:13" ht="45.75" customHeight="1">
      <c r="A1" s="200" t="s">
        <v>94</v>
      </c>
      <c r="B1" s="199"/>
      <c r="C1" s="199"/>
      <c r="D1" s="199"/>
      <c r="E1" s="199"/>
      <c r="F1" s="199"/>
      <c r="G1" s="199"/>
      <c r="H1" s="199"/>
      <c r="I1" s="199"/>
      <c r="J1" s="199"/>
      <c r="K1" s="199"/>
      <c r="L1" s="199"/>
      <c r="M1" s="199"/>
    </row>
    <row r="3" spans="1:13" ht="19.5" customHeight="1">
      <c r="A3" s="198" t="s">
        <v>95</v>
      </c>
      <c r="B3" s="199"/>
      <c r="C3" s="199"/>
      <c r="D3" s="213"/>
      <c r="E3" s="204"/>
      <c r="F3" s="204"/>
      <c r="G3" s="204"/>
      <c r="H3" s="204"/>
      <c r="I3" s="204"/>
      <c r="J3" s="204"/>
      <c r="K3" s="204"/>
      <c r="L3" s="204"/>
      <c r="M3" s="206"/>
    </row>
    <row r="4" spans="1:13" ht="19.5" customHeight="1">
      <c r="A4" s="198" t="s">
        <v>96</v>
      </c>
      <c r="B4" s="199"/>
      <c r="C4" s="199"/>
      <c r="D4" s="213"/>
      <c r="E4" s="204"/>
      <c r="F4" s="204"/>
      <c r="G4" s="204"/>
      <c r="H4" s="204"/>
      <c r="I4" s="204"/>
      <c r="J4" s="204"/>
      <c r="K4" s="204"/>
      <c r="L4" s="204"/>
      <c r="M4" s="206"/>
    </row>
    <row r="5" spans="1:13" ht="19.5" customHeight="1">
      <c r="A5" s="198" t="s">
        <v>97</v>
      </c>
      <c r="B5" s="199"/>
      <c r="C5" s="199"/>
      <c r="D5" s="213"/>
      <c r="E5" s="204"/>
      <c r="F5" s="204"/>
      <c r="G5" s="204"/>
      <c r="H5" s="204"/>
      <c r="I5" s="204"/>
      <c r="J5" s="204"/>
      <c r="K5" s="204"/>
      <c r="L5" s="204"/>
      <c r="M5" s="206"/>
    </row>
    <row r="6" spans="1:13" ht="19.5" customHeight="1">
      <c r="A6" s="198" t="s">
        <v>98</v>
      </c>
      <c r="B6" s="199"/>
      <c r="C6" s="199"/>
      <c r="D6" s="213"/>
      <c r="E6" s="204"/>
      <c r="F6" s="204"/>
      <c r="G6" s="204"/>
      <c r="H6" s="204"/>
      <c r="I6" s="204"/>
      <c r="J6" s="204"/>
      <c r="K6" s="204"/>
      <c r="L6" s="204"/>
      <c r="M6" s="206"/>
    </row>
    <row r="7" spans="1:13">
      <c r="A7" s="7" t="s">
        <v>99</v>
      </c>
      <c r="B7" s="8" t="s">
        <v>100</v>
      </c>
    </row>
    <row r="9" spans="1:13" ht="42" customHeight="1">
      <c r="A9" s="1" t="s">
        <v>101</v>
      </c>
      <c r="B9" s="1" t="s">
        <v>102</v>
      </c>
      <c r="C9" s="1" t="s">
        <v>103</v>
      </c>
      <c r="D9" s="1" t="s">
        <v>104</v>
      </c>
      <c r="E9" s="1" t="s">
        <v>105</v>
      </c>
      <c r="F9" s="1" t="s">
        <v>106</v>
      </c>
      <c r="G9" s="1" t="s">
        <v>107</v>
      </c>
      <c r="H9" s="1" t="s">
        <v>108</v>
      </c>
      <c r="I9" s="1" t="s">
        <v>109</v>
      </c>
      <c r="J9" s="1" t="s">
        <v>110</v>
      </c>
      <c r="K9" s="1" t="s">
        <v>111</v>
      </c>
      <c r="L9" s="1" t="s">
        <v>112</v>
      </c>
      <c r="M9" s="1" t="s">
        <v>78</v>
      </c>
    </row>
    <row r="10" spans="1:13" ht="60" customHeight="1">
      <c r="A10" s="210" t="s">
        <v>113</v>
      </c>
      <c r="B10" s="9" t="s">
        <v>114</v>
      </c>
      <c r="C10" s="9"/>
      <c r="D10" s="9"/>
      <c r="E10" s="9"/>
      <c r="F10" s="9"/>
      <c r="G10" s="9"/>
      <c r="H10" s="9"/>
      <c r="I10" s="9" t="s">
        <v>115</v>
      </c>
      <c r="J10" s="9"/>
      <c r="K10" s="9"/>
      <c r="L10" s="9"/>
      <c r="M10" s="9"/>
    </row>
    <row r="11" spans="1:13" ht="72.75" customHeight="1">
      <c r="A11" s="211"/>
      <c r="B11" s="9" t="s">
        <v>116</v>
      </c>
      <c r="C11" s="9"/>
      <c r="D11" s="9"/>
      <c r="E11" s="9"/>
      <c r="F11" s="9"/>
      <c r="G11" s="9"/>
      <c r="H11" s="9"/>
      <c r="I11" s="9" t="s">
        <v>115</v>
      </c>
      <c r="J11" s="9"/>
      <c r="K11" s="9"/>
      <c r="L11" s="9"/>
      <c r="M11" s="9"/>
    </row>
    <row r="12" spans="1:13" ht="60" customHeight="1">
      <c r="A12" s="212"/>
      <c r="B12" s="9" t="s">
        <v>117</v>
      </c>
      <c r="C12" s="9"/>
      <c r="D12" s="9"/>
      <c r="E12" s="9"/>
      <c r="F12" s="9"/>
      <c r="G12" s="9"/>
      <c r="H12" s="9"/>
      <c r="I12" s="9" t="s">
        <v>115</v>
      </c>
      <c r="J12" s="9"/>
      <c r="K12" s="9"/>
      <c r="L12" s="9"/>
      <c r="M12" s="9"/>
    </row>
    <row r="13" spans="1:13" ht="46.5" customHeight="1">
      <c r="A13" s="210" t="s">
        <v>118</v>
      </c>
      <c r="B13" s="9" t="s">
        <v>119</v>
      </c>
      <c r="C13" s="9"/>
      <c r="D13" s="9"/>
      <c r="E13" s="9"/>
      <c r="F13" s="9"/>
      <c r="G13" s="9"/>
      <c r="H13" s="9"/>
      <c r="I13" s="9" t="s">
        <v>115</v>
      </c>
      <c r="J13" s="9"/>
      <c r="K13" s="9"/>
      <c r="L13" s="9"/>
      <c r="M13" s="9"/>
    </row>
    <row r="14" spans="1:13" ht="60" customHeight="1">
      <c r="A14" s="211"/>
      <c r="B14" s="9" t="s">
        <v>120</v>
      </c>
      <c r="C14" s="9"/>
      <c r="D14" s="9"/>
      <c r="E14" s="9"/>
      <c r="F14" s="9"/>
      <c r="G14" s="9"/>
      <c r="H14" s="9"/>
      <c r="I14" s="9" t="s">
        <v>115</v>
      </c>
      <c r="J14" s="9"/>
      <c r="K14" s="9"/>
      <c r="L14" s="9"/>
      <c r="M14" s="9"/>
    </row>
    <row r="15" spans="1:13" ht="33.75" customHeight="1">
      <c r="A15" s="211"/>
      <c r="B15" s="9" t="s">
        <v>121</v>
      </c>
      <c r="C15" s="9"/>
      <c r="D15" s="9"/>
      <c r="E15" s="9"/>
      <c r="F15" s="9"/>
      <c r="G15" s="9"/>
      <c r="H15" s="9"/>
      <c r="I15" s="9" t="s">
        <v>122</v>
      </c>
      <c r="J15" s="9"/>
      <c r="K15" s="9"/>
      <c r="L15" s="9"/>
      <c r="M15" s="9"/>
    </row>
    <row r="16" spans="1:13" ht="33.75" customHeight="1">
      <c r="A16" s="211"/>
      <c r="B16" s="9" t="s">
        <v>123</v>
      </c>
      <c r="C16" s="9"/>
      <c r="D16" s="9"/>
      <c r="E16" s="9"/>
      <c r="F16" s="9"/>
      <c r="G16" s="9"/>
      <c r="H16" s="9"/>
      <c r="I16" s="9" t="s">
        <v>122</v>
      </c>
      <c r="J16" s="9"/>
      <c r="K16" s="9"/>
      <c r="L16" s="9"/>
      <c r="M16" s="9"/>
    </row>
    <row r="17" spans="1:13" ht="60" customHeight="1">
      <c r="A17" s="212"/>
      <c r="B17" s="9" t="s">
        <v>124</v>
      </c>
      <c r="C17" s="9"/>
      <c r="D17" s="9"/>
      <c r="E17" s="9"/>
      <c r="F17" s="9"/>
      <c r="G17" s="9"/>
      <c r="H17" s="9"/>
      <c r="I17" s="9" t="s">
        <v>122</v>
      </c>
      <c r="J17" s="9"/>
      <c r="K17" s="9"/>
      <c r="L17" s="9"/>
      <c r="M17" s="9"/>
    </row>
    <row r="18" spans="1:13" ht="46.5" customHeight="1">
      <c r="A18" s="210" t="s">
        <v>125</v>
      </c>
      <c r="B18" s="9" t="s">
        <v>126</v>
      </c>
      <c r="C18" s="9"/>
      <c r="D18" s="9"/>
      <c r="E18" s="9"/>
      <c r="F18" s="9"/>
      <c r="G18" s="9"/>
      <c r="H18" s="9"/>
      <c r="I18" s="9" t="s">
        <v>122</v>
      </c>
      <c r="J18" s="9"/>
      <c r="K18" s="9"/>
      <c r="L18" s="9"/>
      <c r="M18" s="9"/>
    </row>
    <row r="19" spans="1:13" ht="60" customHeight="1">
      <c r="A19" s="211"/>
      <c r="B19" s="9" t="s">
        <v>127</v>
      </c>
      <c r="C19" s="9"/>
      <c r="D19" s="9"/>
      <c r="E19" s="9"/>
      <c r="F19" s="9"/>
      <c r="G19" s="9"/>
      <c r="H19" s="9"/>
      <c r="I19" s="9" t="s">
        <v>122</v>
      </c>
      <c r="J19" s="9"/>
      <c r="K19" s="9"/>
      <c r="L19" s="9"/>
      <c r="M19" s="9"/>
    </row>
    <row r="20" spans="1:13" ht="85.5" customHeight="1">
      <c r="A20" s="211"/>
      <c r="B20" s="9" t="s">
        <v>128</v>
      </c>
      <c r="C20" s="9"/>
      <c r="D20" s="9"/>
      <c r="E20" s="9"/>
      <c r="F20" s="9"/>
      <c r="G20" s="9"/>
      <c r="H20" s="9"/>
      <c r="I20" s="9" t="s">
        <v>122</v>
      </c>
      <c r="J20" s="9"/>
      <c r="K20" s="9"/>
      <c r="L20" s="9"/>
      <c r="M20" s="9"/>
    </row>
    <row r="21" spans="1:13" ht="33.75" customHeight="1">
      <c r="A21" s="211"/>
      <c r="B21" s="9" t="s">
        <v>129</v>
      </c>
      <c r="C21" s="9"/>
      <c r="D21" s="9"/>
      <c r="E21" s="9"/>
      <c r="F21" s="9"/>
      <c r="G21" s="9"/>
      <c r="H21" s="9"/>
      <c r="I21" s="9" t="s">
        <v>122</v>
      </c>
      <c r="J21" s="9"/>
      <c r="K21" s="9"/>
      <c r="L21" s="9"/>
      <c r="M21" s="9"/>
    </row>
    <row r="22" spans="1:13" ht="72.75" customHeight="1">
      <c r="A22" s="211"/>
      <c r="B22" s="9" t="s">
        <v>130</v>
      </c>
      <c r="C22" s="9"/>
      <c r="D22" s="9"/>
      <c r="E22" s="9"/>
      <c r="F22" s="9"/>
      <c r="G22" s="9"/>
      <c r="H22" s="9"/>
      <c r="I22" s="9" t="s">
        <v>131</v>
      </c>
      <c r="J22" s="9"/>
      <c r="K22" s="9"/>
      <c r="L22" s="9"/>
      <c r="M22" s="9"/>
    </row>
    <row r="23" spans="1:13" ht="60" customHeight="1">
      <c r="A23" s="211"/>
      <c r="B23" s="9" t="s">
        <v>132</v>
      </c>
      <c r="C23" s="9"/>
      <c r="D23" s="9"/>
      <c r="E23" s="9"/>
      <c r="F23" s="9"/>
      <c r="G23" s="9"/>
      <c r="H23" s="9"/>
      <c r="I23" s="9" t="s">
        <v>133</v>
      </c>
      <c r="J23" s="9"/>
      <c r="K23" s="9"/>
      <c r="L23" s="9"/>
      <c r="M23" s="9"/>
    </row>
    <row r="24" spans="1:13" ht="72.75" customHeight="1">
      <c r="A24" s="211"/>
      <c r="B24" s="9" t="s">
        <v>134</v>
      </c>
      <c r="C24" s="9"/>
      <c r="D24" s="9"/>
      <c r="E24" s="9"/>
      <c r="F24" s="9"/>
      <c r="G24" s="9"/>
      <c r="H24" s="9"/>
      <c r="I24" s="9" t="s">
        <v>133</v>
      </c>
      <c r="J24" s="9"/>
      <c r="K24" s="9"/>
      <c r="L24" s="9"/>
      <c r="M24" s="9"/>
    </row>
    <row r="25" spans="1:13" ht="72.75" customHeight="1">
      <c r="A25" s="212"/>
      <c r="B25" s="9" t="s">
        <v>135</v>
      </c>
      <c r="C25" s="9"/>
      <c r="D25" s="9"/>
      <c r="E25" s="9"/>
      <c r="F25" s="9"/>
      <c r="G25" s="9"/>
      <c r="H25" s="9"/>
      <c r="I25" s="9" t="s">
        <v>133</v>
      </c>
      <c r="J25" s="9"/>
      <c r="K25" s="9"/>
      <c r="L25" s="9"/>
      <c r="M25" s="9"/>
    </row>
    <row r="26" spans="1:13" ht="60" customHeight="1">
      <c r="A26" s="210" t="s">
        <v>136</v>
      </c>
      <c r="B26" s="9" t="s">
        <v>137</v>
      </c>
      <c r="C26" s="9"/>
      <c r="D26" s="9"/>
      <c r="E26" s="9"/>
      <c r="F26" s="9"/>
      <c r="G26" s="9"/>
      <c r="H26" s="9"/>
      <c r="I26" s="9" t="s">
        <v>133</v>
      </c>
      <c r="J26" s="9"/>
      <c r="K26" s="9"/>
      <c r="L26" s="9"/>
      <c r="M26" s="9"/>
    </row>
    <row r="27" spans="1:13" ht="72.75" customHeight="1">
      <c r="A27" s="211"/>
      <c r="B27" s="9" t="s">
        <v>138</v>
      </c>
      <c r="C27" s="9"/>
      <c r="D27" s="9"/>
      <c r="E27" s="9"/>
      <c r="F27" s="9"/>
      <c r="G27" s="9"/>
      <c r="H27" s="9"/>
      <c r="I27" s="9" t="s">
        <v>133</v>
      </c>
      <c r="J27" s="9"/>
      <c r="K27" s="9"/>
      <c r="L27" s="9"/>
      <c r="M27" s="9"/>
    </row>
    <row r="28" spans="1:13" ht="60" customHeight="1">
      <c r="A28" s="211"/>
      <c r="B28" s="9" t="s">
        <v>139</v>
      </c>
      <c r="C28" s="9"/>
      <c r="D28" s="9"/>
      <c r="E28" s="9"/>
      <c r="F28" s="9"/>
      <c r="G28" s="9"/>
      <c r="H28" s="9"/>
      <c r="I28" s="9" t="s">
        <v>133</v>
      </c>
      <c r="J28" s="9"/>
      <c r="K28" s="9"/>
      <c r="L28" s="9"/>
      <c r="M28" s="9"/>
    </row>
    <row r="29" spans="1:13" ht="60" customHeight="1">
      <c r="A29" s="212"/>
      <c r="B29" s="9" t="s">
        <v>140</v>
      </c>
      <c r="C29" s="9"/>
      <c r="D29" s="9"/>
      <c r="E29" s="9"/>
      <c r="F29" s="9"/>
      <c r="G29" s="9"/>
      <c r="H29" s="9"/>
      <c r="I29" s="9" t="s">
        <v>133</v>
      </c>
      <c r="J29" s="9"/>
      <c r="K29" s="9"/>
      <c r="L29" s="9"/>
      <c r="M29" s="9"/>
    </row>
    <row r="30" spans="1:13" ht="33.75" customHeight="1">
      <c r="A30" s="210" t="s">
        <v>141</v>
      </c>
      <c r="B30" s="9" t="s">
        <v>142</v>
      </c>
      <c r="C30" s="9"/>
      <c r="D30" s="9"/>
      <c r="E30" s="9"/>
      <c r="F30" s="9"/>
      <c r="G30" s="9"/>
      <c r="H30" s="9"/>
      <c r="I30" s="9" t="s">
        <v>122</v>
      </c>
      <c r="J30" s="9"/>
      <c r="K30" s="9"/>
      <c r="L30" s="9"/>
      <c r="M30" s="9"/>
    </row>
    <row r="31" spans="1:13" ht="46.5" customHeight="1">
      <c r="A31" s="212"/>
      <c r="B31" s="9" t="s">
        <v>143</v>
      </c>
      <c r="C31" s="9"/>
      <c r="D31" s="9"/>
      <c r="E31" s="9"/>
      <c r="F31" s="9"/>
      <c r="G31" s="9"/>
      <c r="H31" s="9"/>
      <c r="I31" s="9" t="s">
        <v>144</v>
      </c>
      <c r="J31" s="9"/>
      <c r="K31" s="9"/>
      <c r="L31" s="9"/>
      <c r="M31" s="9"/>
    </row>
    <row r="32" spans="1:13" ht="33.75" customHeight="1">
      <c r="A32" s="210" t="s">
        <v>145</v>
      </c>
      <c r="B32" s="9" t="s">
        <v>146</v>
      </c>
      <c r="C32" s="9"/>
      <c r="D32" s="9"/>
      <c r="E32" s="9"/>
      <c r="F32" s="9"/>
      <c r="G32" s="9"/>
      <c r="H32" s="9"/>
      <c r="I32" s="9" t="s">
        <v>115</v>
      </c>
      <c r="J32" s="9"/>
      <c r="K32" s="9"/>
      <c r="L32" s="9"/>
      <c r="M32" s="9"/>
    </row>
    <row r="33" spans="1:13" ht="33.75" customHeight="1">
      <c r="A33" s="211"/>
      <c r="B33" s="9" t="s">
        <v>147</v>
      </c>
      <c r="C33" s="9"/>
      <c r="D33" s="9"/>
      <c r="E33" s="9"/>
      <c r="F33" s="9"/>
      <c r="G33" s="9"/>
      <c r="H33" s="9"/>
      <c r="I33" s="9" t="s">
        <v>115</v>
      </c>
      <c r="J33" s="9"/>
      <c r="K33" s="9"/>
      <c r="L33" s="9"/>
      <c r="M33" s="9"/>
    </row>
    <row r="34" spans="1:13" ht="46.5" customHeight="1">
      <c r="A34" s="212"/>
      <c r="B34" s="9" t="s">
        <v>148</v>
      </c>
      <c r="C34" s="9"/>
      <c r="D34" s="9"/>
      <c r="E34" s="9"/>
      <c r="F34" s="9"/>
      <c r="G34" s="9"/>
      <c r="H34" s="9"/>
      <c r="I34" s="9" t="s">
        <v>115</v>
      </c>
      <c r="J34" s="9"/>
      <c r="K34" s="9"/>
      <c r="L34" s="9"/>
      <c r="M34" s="9"/>
    </row>
    <row r="35" spans="1:13" ht="46.5" customHeight="1">
      <c r="A35" s="210" t="s">
        <v>149</v>
      </c>
      <c r="B35" s="9" t="s">
        <v>150</v>
      </c>
      <c r="C35" s="9"/>
      <c r="D35" s="9"/>
      <c r="E35" s="9"/>
      <c r="F35" s="9"/>
      <c r="G35" s="9"/>
      <c r="H35" s="9"/>
      <c r="I35" s="9" t="s">
        <v>115</v>
      </c>
      <c r="J35" s="9"/>
      <c r="K35" s="9"/>
      <c r="L35" s="9"/>
      <c r="M35" s="9"/>
    </row>
    <row r="36" spans="1:13" ht="60" customHeight="1">
      <c r="A36" s="211"/>
      <c r="B36" s="9" t="s">
        <v>151</v>
      </c>
      <c r="C36" s="9"/>
      <c r="D36" s="9"/>
      <c r="E36" s="9"/>
      <c r="F36" s="9"/>
      <c r="G36" s="9"/>
      <c r="H36" s="9"/>
      <c r="I36" s="9" t="s">
        <v>115</v>
      </c>
      <c r="J36" s="9"/>
      <c r="K36" s="9"/>
      <c r="L36" s="9"/>
      <c r="M36" s="9"/>
    </row>
    <row r="37" spans="1:13" ht="60" customHeight="1">
      <c r="A37" s="211"/>
      <c r="B37" s="9" t="s">
        <v>152</v>
      </c>
      <c r="C37" s="9"/>
      <c r="D37" s="9"/>
      <c r="E37" s="9"/>
      <c r="F37" s="9"/>
      <c r="G37" s="9"/>
      <c r="H37" s="9"/>
      <c r="I37" s="9" t="s">
        <v>115</v>
      </c>
      <c r="J37" s="9"/>
      <c r="K37" s="9"/>
      <c r="L37" s="9"/>
      <c r="M37" s="9"/>
    </row>
    <row r="38" spans="1:13" ht="60" customHeight="1">
      <c r="A38" s="211"/>
      <c r="B38" s="9" t="s">
        <v>153</v>
      </c>
      <c r="C38" s="9"/>
      <c r="D38" s="9"/>
      <c r="E38" s="9"/>
      <c r="F38" s="9"/>
      <c r="G38" s="9"/>
      <c r="H38" s="9"/>
      <c r="I38" s="9" t="s">
        <v>115</v>
      </c>
      <c r="J38" s="9"/>
      <c r="K38" s="9"/>
      <c r="L38" s="9"/>
      <c r="M38" s="9"/>
    </row>
    <row r="39" spans="1:13" ht="85.5" customHeight="1">
      <c r="A39" s="211"/>
      <c r="B39" s="9" t="s">
        <v>154</v>
      </c>
      <c r="C39" s="9"/>
      <c r="D39" s="9"/>
      <c r="E39" s="9"/>
      <c r="F39" s="9"/>
      <c r="G39" s="9"/>
      <c r="H39" s="9"/>
      <c r="I39" s="9" t="s">
        <v>133</v>
      </c>
      <c r="J39" s="9"/>
      <c r="K39" s="9"/>
      <c r="L39" s="9"/>
      <c r="M39" s="9"/>
    </row>
    <row r="40" spans="1:13" ht="60" customHeight="1">
      <c r="A40" s="211"/>
      <c r="B40" s="9" t="s">
        <v>155</v>
      </c>
      <c r="C40" s="9"/>
      <c r="D40" s="9"/>
      <c r="E40" s="9"/>
      <c r="F40" s="9"/>
      <c r="G40" s="9"/>
      <c r="H40" s="9"/>
      <c r="I40" s="9" t="s">
        <v>115</v>
      </c>
      <c r="J40" s="9"/>
      <c r="K40" s="9"/>
      <c r="L40" s="9"/>
      <c r="M40" s="9"/>
    </row>
    <row r="41" spans="1:13" ht="46.5" customHeight="1">
      <c r="A41" s="212"/>
      <c r="B41" s="9" t="s">
        <v>156</v>
      </c>
      <c r="C41" s="9"/>
      <c r="D41" s="9"/>
      <c r="E41" s="9"/>
      <c r="F41" s="9"/>
      <c r="G41" s="9"/>
      <c r="H41" s="9"/>
      <c r="I41" s="9" t="s">
        <v>133</v>
      </c>
      <c r="J41" s="9"/>
      <c r="K41" s="9"/>
      <c r="L41" s="9"/>
      <c r="M41" s="9"/>
    </row>
    <row r="42" spans="1:13" ht="46.5" customHeight="1">
      <c r="A42" s="210" t="s">
        <v>157</v>
      </c>
      <c r="B42" s="9" t="s">
        <v>158</v>
      </c>
      <c r="C42" s="9"/>
      <c r="D42" s="9"/>
      <c r="E42" s="9"/>
      <c r="F42" s="9"/>
      <c r="G42" s="9"/>
      <c r="H42" s="9"/>
      <c r="I42" s="9" t="s">
        <v>122</v>
      </c>
      <c r="J42" s="9"/>
      <c r="K42" s="9"/>
      <c r="L42" s="9"/>
      <c r="M42" s="9"/>
    </row>
    <row r="43" spans="1:13" ht="46.5" customHeight="1">
      <c r="A43" s="212"/>
      <c r="B43" s="9" t="s">
        <v>159</v>
      </c>
      <c r="C43" s="9"/>
      <c r="D43" s="9"/>
      <c r="E43" s="9"/>
      <c r="F43" s="9"/>
      <c r="G43" s="9"/>
      <c r="H43" s="9"/>
      <c r="I43" s="9" t="s">
        <v>122</v>
      </c>
      <c r="J43" s="9"/>
      <c r="K43" s="9"/>
      <c r="L43" s="9"/>
      <c r="M43" s="9"/>
    </row>
    <row r="44" spans="1:13" ht="33.75" customHeight="1">
      <c r="A44" s="210" t="s">
        <v>160</v>
      </c>
      <c r="B44" s="9" t="s">
        <v>161</v>
      </c>
      <c r="C44" s="9"/>
      <c r="D44" s="9"/>
      <c r="E44" s="9"/>
      <c r="F44" s="9"/>
      <c r="G44" s="9"/>
      <c r="H44" s="9"/>
      <c r="I44" s="9" t="s">
        <v>115</v>
      </c>
      <c r="J44" s="9"/>
      <c r="K44" s="9"/>
      <c r="L44" s="9"/>
      <c r="M44" s="9"/>
    </row>
    <row r="45" spans="1:13" ht="33.75" customHeight="1">
      <c r="A45" s="211"/>
      <c r="B45" s="9" t="s">
        <v>162</v>
      </c>
      <c r="C45" s="9"/>
      <c r="D45" s="9"/>
      <c r="E45" s="9"/>
      <c r="F45" s="9"/>
      <c r="G45" s="9"/>
      <c r="H45" s="9"/>
      <c r="I45" s="9" t="s">
        <v>115</v>
      </c>
      <c r="J45" s="9"/>
      <c r="K45" s="9"/>
      <c r="L45" s="9"/>
      <c r="M45" s="9"/>
    </row>
    <row r="46" spans="1:13" ht="33.75" customHeight="1">
      <c r="A46" s="211"/>
      <c r="B46" s="9" t="s">
        <v>163</v>
      </c>
      <c r="C46" s="9"/>
      <c r="D46" s="9"/>
      <c r="E46" s="9"/>
      <c r="F46" s="9"/>
      <c r="G46" s="9"/>
      <c r="H46" s="9"/>
      <c r="I46" s="9" t="s">
        <v>115</v>
      </c>
      <c r="J46" s="9"/>
      <c r="K46" s="9"/>
      <c r="L46" s="9"/>
      <c r="M46" s="9"/>
    </row>
    <row r="47" spans="1:13" ht="60" customHeight="1">
      <c r="A47" s="212"/>
      <c r="B47" s="9" t="s">
        <v>164</v>
      </c>
      <c r="C47" s="9"/>
      <c r="D47" s="9"/>
      <c r="E47" s="9"/>
      <c r="F47" s="9"/>
      <c r="G47" s="9"/>
      <c r="H47" s="9"/>
      <c r="I47" s="9" t="s">
        <v>115</v>
      </c>
      <c r="J47" s="9"/>
      <c r="K47" s="9"/>
      <c r="L47" s="9"/>
      <c r="M47" s="9"/>
    </row>
    <row r="48" spans="1:13" ht="33.75" customHeight="1">
      <c r="A48" s="210" t="s">
        <v>165</v>
      </c>
      <c r="B48" s="9" t="s">
        <v>166</v>
      </c>
      <c r="C48" s="9"/>
      <c r="D48" s="9"/>
      <c r="E48" s="9"/>
      <c r="F48" s="9"/>
      <c r="G48" s="9"/>
      <c r="H48" s="9"/>
      <c r="I48" s="9" t="s">
        <v>122</v>
      </c>
      <c r="J48" s="9"/>
      <c r="K48" s="9"/>
      <c r="L48" s="9"/>
      <c r="M48" s="9"/>
    </row>
    <row r="49" spans="1:13" ht="60" customHeight="1">
      <c r="A49" s="211"/>
      <c r="B49" s="9" t="s">
        <v>167</v>
      </c>
      <c r="C49" s="9"/>
      <c r="D49" s="9"/>
      <c r="E49" s="9"/>
      <c r="F49" s="9"/>
      <c r="G49" s="9"/>
      <c r="H49" s="9"/>
      <c r="I49" s="9" t="s">
        <v>122</v>
      </c>
      <c r="J49" s="9"/>
      <c r="K49" s="9"/>
      <c r="L49" s="9"/>
      <c r="M49" s="9"/>
    </row>
    <row r="50" spans="1:13" ht="72.75" customHeight="1">
      <c r="A50" s="211"/>
      <c r="B50" s="9" t="s">
        <v>168</v>
      </c>
      <c r="C50" s="9"/>
      <c r="D50" s="9"/>
      <c r="E50" s="9"/>
      <c r="F50" s="9"/>
      <c r="G50" s="9"/>
      <c r="H50" s="9"/>
      <c r="I50" s="9" t="s">
        <v>122</v>
      </c>
      <c r="J50" s="9"/>
      <c r="K50" s="9"/>
      <c r="L50" s="9"/>
      <c r="M50" s="9"/>
    </row>
    <row r="51" spans="1:13" ht="72.75" customHeight="1">
      <c r="A51" s="211"/>
      <c r="B51" s="9" t="s">
        <v>169</v>
      </c>
      <c r="C51" s="9"/>
      <c r="D51" s="9"/>
      <c r="E51" s="9"/>
      <c r="F51" s="9"/>
      <c r="G51" s="9"/>
      <c r="H51" s="9"/>
      <c r="I51" s="9" t="s">
        <v>133</v>
      </c>
      <c r="J51" s="9"/>
      <c r="K51" s="9"/>
      <c r="L51" s="9"/>
      <c r="M51" s="9"/>
    </row>
    <row r="52" spans="1:13" ht="85.5" customHeight="1">
      <c r="A52" s="211"/>
      <c r="B52" s="9" t="s">
        <v>170</v>
      </c>
      <c r="C52" s="9"/>
      <c r="D52" s="9"/>
      <c r="E52" s="9"/>
      <c r="F52" s="9"/>
      <c r="G52" s="9"/>
      <c r="H52" s="9"/>
      <c r="I52" s="9" t="s">
        <v>115</v>
      </c>
      <c r="J52" s="9"/>
      <c r="K52" s="9"/>
      <c r="L52" s="9"/>
      <c r="M52" s="9"/>
    </row>
    <row r="53" spans="1:13" ht="72.75" customHeight="1">
      <c r="A53" s="212"/>
      <c r="B53" s="9" t="s">
        <v>171</v>
      </c>
      <c r="C53" s="9"/>
      <c r="D53" s="9"/>
      <c r="E53" s="9"/>
      <c r="F53" s="9"/>
      <c r="G53" s="9"/>
      <c r="H53" s="9"/>
      <c r="I53" s="9" t="s">
        <v>122</v>
      </c>
      <c r="J53" s="9"/>
      <c r="K53" s="9"/>
      <c r="L53" s="9"/>
      <c r="M53" s="9"/>
    </row>
    <row r="55" spans="1:13">
      <c r="A55" s="7" t="s">
        <v>172</v>
      </c>
    </row>
    <row r="56" spans="1:13" ht="15" customHeight="1">
      <c r="A56" s="209" t="s">
        <v>173</v>
      </c>
      <c r="B56" s="199"/>
      <c r="C56" s="199"/>
      <c r="D56" s="199"/>
      <c r="E56" s="199"/>
      <c r="F56" s="199"/>
      <c r="G56" s="199"/>
      <c r="H56" s="199"/>
      <c r="I56" s="199"/>
      <c r="J56" s="199"/>
      <c r="K56" s="199"/>
      <c r="L56" s="199"/>
      <c r="M56" s="199"/>
    </row>
    <row r="57" spans="1:13" ht="15" customHeight="1">
      <c r="A57" s="209" t="s">
        <v>174</v>
      </c>
      <c r="B57" s="199"/>
      <c r="C57" s="199"/>
      <c r="D57" s="199"/>
      <c r="E57" s="199"/>
      <c r="F57" s="199"/>
      <c r="G57" s="199"/>
      <c r="H57" s="199"/>
      <c r="I57" s="199"/>
      <c r="J57" s="199"/>
      <c r="K57" s="199"/>
      <c r="L57" s="199"/>
      <c r="M57" s="199"/>
    </row>
    <row r="58" spans="1:13" ht="15" customHeight="1">
      <c r="A58" s="209" t="s">
        <v>175</v>
      </c>
      <c r="B58" s="199"/>
      <c r="C58" s="199"/>
      <c r="D58" s="199"/>
      <c r="E58" s="199"/>
      <c r="F58" s="199"/>
      <c r="G58" s="199"/>
      <c r="H58" s="199"/>
      <c r="I58" s="199"/>
      <c r="J58" s="199"/>
      <c r="K58" s="199"/>
      <c r="L58" s="199"/>
      <c r="M58" s="199"/>
    </row>
  </sheetData>
  <autoFilter ref="A9:M9" xr:uid="{00000000-0001-0000-0300-000000000000}"/>
  <mergeCells count="22">
    <mergeCell ref="D3:M3"/>
    <mergeCell ref="A3:C3"/>
    <mergeCell ref="A32:A34"/>
    <mergeCell ref="D5:M5"/>
    <mergeCell ref="A5:C5"/>
    <mergeCell ref="A10:A12"/>
    <mergeCell ref="A58:M58"/>
    <mergeCell ref="A13:A17"/>
    <mergeCell ref="A4:C4"/>
    <mergeCell ref="A35:A41"/>
    <mergeCell ref="A1:M1"/>
    <mergeCell ref="A42:A43"/>
    <mergeCell ref="A26:A29"/>
    <mergeCell ref="D6:M6"/>
    <mergeCell ref="A18:A25"/>
    <mergeCell ref="A44:A47"/>
    <mergeCell ref="A6:C6"/>
    <mergeCell ref="A56:M56"/>
    <mergeCell ref="A57:M57"/>
    <mergeCell ref="A30:A31"/>
    <mergeCell ref="A48:A53"/>
    <mergeCell ref="D4:M4"/>
  </mergeCells>
  <dataValidations count="2">
    <dataValidation type="list" allowBlank="1" sqref="C10:H53 L10:L53" xr:uid="{00000000-0002-0000-0300-000000000000}">
      <formula1>"O,X,Δ"</formula1>
      <formula2>0</formula2>
    </dataValidation>
    <dataValidation type="list" allowBlank="1" sqref="I10:I53" xr:uid="{00000000-0002-0000-0300-000001000000}">
      <formula1>"Mua hàng,IQC,Kinh doanh,Mua hàng+IQC,NCC,Kỹ thuật"</formula1>
      <formula2>0</formula2>
    </dataValidation>
  </dataValidations>
  <pageMargins left="0.4" right="0.4" top="0.5" bottom="0.5" header="0.511811023622047" footer="0.511811023622047"/>
  <pageSetup scale="83" fitToHeight="0" orientation="landscape" horizontalDpi="300" verticalDpi="300"/>
  <headerFooter>
    <oddFooter>&amp;LQLGCN-03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28"/>
  <sheetViews>
    <sheetView showGridLines="0" zoomScaleNormal="100" workbookViewId="0">
      <pane xSplit="5" ySplit="3" topLeftCell="F4" activePane="bottomRight" state="frozen"/>
      <selection pane="topRight" activeCell="E1" sqref="E1"/>
      <selection pane="bottomLeft" activeCell="A4" sqref="A4"/>
      <selection pane="bottomRight" activeCell="G10" sqref="G10"/>
    </sheetView>
  </sheetViews>
  <sheetFormatPr defaultColWidth="8.6640625" defaultRowHeight="14.4"/>
  <cols>
    <col min="1" max="1" width="5" customWidth="1"/>
    <col min="2" max="2" width="13.5546875" customWidth="1"/>
    <col min="3" max="3" width="12" customWidth="1"/>
    <col min="4" max="4" width="11" customWidth="1"/>
    <col min="5" max="5" width="9" customWidth="1"/>
    <col min="6" max="6" width="26" customWidth="1"/>
    <col min="7" max="8" width="22" customWidth="1"/>
    <col min="9" max="9" width="12" customWidth="1"/>
    <col min="10" max="11" width="10" customWidth="1"/>
    <col min="12" max="12" width="9" customWidth="1"/>
    <col min="13" max="13" width="10" customWidth="1"/>
    <col min="14" max="14" width="9" customWidth="1"/>
    <col min="15" max="15" width="10" customWidth="1"/>
    <col min="16" max="16" width="9" customWidth="1"/>
    <col min="17" max="17" width="12" customWidth="1"/>
    <col min="18" max="18" width="16" customWidth="1"/>
  </cols>
  <sheetData>
    <row r="1" spans="1:18" ht="45.75" customHeight="1">
      <c r="A1" s="200" t="s">
        <v>176</v>
      </c>
      <c r="B1" s="200"/>
      <c r="C1" s="199"/>
      <c r="D1" s="199"/>
      <c r="E1" s="199"/>
      <c r="F1" s="199"/>
      <c r="G1" s="199"/>
      <c r="H1" s="199"/>
      <c r="I1" s="199"/>
      <c r="J1" s="199"/>
      <c r="K1" s="199"/>
      <c r="L1" s="199"/>
      <c r="M1" s="199"/>
      <c r="N1" s="199"/>
      <c r="O1" s="199"/>
      <c r="P1" s="199"/>
      <c r="Q1" s="199"/>
      <c r="R1" s="199"/>
    </row>
    <row r="3" spans="1:18" ht="66" customHeight="1">
      <c r="A3" s="1" t="s">
        <v>9</v>
      </c>
      <c r="B3" s="1" t="s">
        <v>672</v>
      </c>
      <c r="C3" s="1" t="s">
        <v>177</v>
      </c>
      <c r="D3" s="1" t="s">
        <v>178</v>
      </c>
      <c r="E3" s="1" t="s">
        <v>179</v>
      </c>
      <c r="F3" s="1" t="s">
        <v>180</v>
      </c>
      <c r="G3" s="1" t="s">
        <v>181</v>
      </c>
      <c r="H3" s="1" t="s">
        <v>182</v>
      </c>
      <c r="I3" s="1" t="s">
        <v>183</v>
      </c>
      <c r="J3" s="1" t="s">
        <v>110</v>
      </c>
      <c r="K3" s="11" t="s">
        <v>184</v>
      </c>
      <c r="L3" s="11" t="s">
        <v>185</v>
      </c>
      <c r="M3" s="12" t="s">
        <v>186</v>
      </c>
      <c r="N3" s="12" t="s">
        <v>185</v>
      </c>
      <c r="O3" s="13" t="s">
        <v>187</v>
      </c>
      <c r="P3" s="13" t="s">
        <v>185</v>
      </c>
      <c r="Q3" s="1" t="s">
        <v>188</v>
      </c>
      <c r="R3" s="1" t="s">
        <v>78</v>
      </c>
    </row>
    <row r="4" spans="1:18" ht="25.5" customHeight="1">
      <c r="A4" s="9">
        <v>1</v>
      </c>
      <c r="B4" s="9"/>
      <c r="C4" s="9"/>
      <c r="D4" s="9"/>
      <c r="E4" s="9"/>
      <c r="F4" s="9"/>
      <c r="G4" s="9"/>
      <c r="H4" s="9"/>
      <c r="I4" s="9"/>
      <c r="J4" s="9"/>
      <c r="K4" s="9"/>
      <c r="L4" s="9"/>
      <c r="M4" s="9"/>
      <c r="N4" s="9"/>
      <c r="O4" s="9"/>
      <c r="P4" s="9"/>
      <c r="Q4" s="9"/>
      <c r="R4" s="9"/>
    </row>
    <row r="5" spans="1:18" ht="25.5" customHeight="1">
      <c r="A5" s="9">
        <v>2</v>
      </c>
      <c r="B5" s="9"/>
      <c r="C5" s="9"/>
      <c r="D5" s="9"/>
      <c r="E5" s="9"/>
      <c r="F5" s="9"/>
      <c r="G5" s="9"/>
      <c r="H5" s="9"/>
      <c r="I5" s="9"/>
      <c r="J5" s="9"/>
      <c r="K5" s="9"/>
      <c r="L5" s="9"/>
      <c r="M5" s="9"/>
      <c r="N5" s="9"/>
      <c r="O5" s="9"/>
      <c r="P5" s="9"/>
      <c r="Q5" s="9"/>
      <c r="R5" s="9"/>
    </row>
    <row r="6" spans="1:18" ht="25.5" customHeight="1">
      <c r="A6" s="9">
        <v>3</v>
      </c>
      <c r="B6" s="9"/>
      <c r="C6" s="9"/>
      <c r="D6" s="9"/>
      <c r="E6" s="9"/>
      <c r="F6" s="9"/>
      <c r="G6" s="9"/>
      <c r="H6" s="9"/>
      <c r="I6" s="9"/>
      <c r="J6" s="9"/>
      <c r="K6" s="9"/>
      <c r="L6" s="9"/>
      <c r="M6" s="9"/>
      <c r="N6" s="9"/>
      <c r="O6" s="9"/>
      <c r="P6" s="9"/>
      <c r="Q6" s="9"/>
      <c r="R6" s="9"/>
    </row>
    <row r="7" spans="1:18" ht="25.5" customHeight="1">
      <c r="A7" s="9">
        <v>4</v>
      </c>
      <c r="B7" s="9"/>
      <c r="C7" s="9"/>
      <c r="D7" s="9"/>
      <c r="E7" s="9"/>
      <c r="F7" s="9"/>
      <c r="G7" s="9"/>
      <c r="H7" s="9"/>
      <c r="I7" s="9"/>
      <c r="J7" s="9"/>
      <c r="K7" s="9"/>
      <c r="L7" s="9"/>
      <c r="M7" s="9"/>
      <c r="N7" s="9"/>
      <c r="O7" s="9"/>
      <c r="P7" s="9"/>
      <c r="Q7" s="9"/>
      <c r="R7" s="9"/>
    </row>
    <row r="8" spans="1:18" ht="25.5" customHeight="1">
      <c r="A8" s="9">
        <v>5</v>
      </c>
      <c r="B8" s="9"/>
      <c r="C8" s="9"/>
      <c r="D8" s="9"/>
      <c r="E8" s="9"/>
      <c r="F8" s="9"/>
      <c r="G8" s="9"/>
      <c r="H8" s="9"/>
      <c r="I8" s="9"/>
      <c r="J8" s="9"/>
      <c r="K8" s="9"/>
      <c r="L8" s="9"/>
      <c r="M8" s="9"/>
      <c r="N8" s="9"/>
      <c r="O8" s="9"/>
      <c r="P8" s="9"/>
      <c r="Q8" s="9"/>
      <c r="R8" s="9"/>
    </row>
    <row r="9" spans="1:18" ht="25.5" customHeight="1">
      <c r="A9" s="9">
        <v>6</v>
      </c>
      <c r="B9" s="9"/>
      <c r="C9" s="9"/>
      <c r="D9" s="9"/>
      <c r="E9" s="9"/>
      <c r="F9" s="9"/>
      <c r="G9" s="9"/>
      <c r="H9" s="9"/>
      <c r="I9" s="9"/>
      <c r="J9" s="9"/>
      <c r="K9" s="9"/>
      <c r="L9" s="9"/>
      <c r="M9" s="9"/>
      <c r="N9" s="9"/>
      <c r="O9" s="9"/>
      <c r="P9" s="9"/>
      <c r="Q9" s="9"/>
      <c r="R9" s="9"/>
    </row>
    <row r="10" spans="1:18" ht="25.5" customHeight="1">
      <c r="A10" s="9">
        <v>7</v>
      </c>
      <c r="B10" s="9"/>
      <c r="C10" s="9"/>
      <c r="D10" s="9"/>
      <c r="E10" s="9"/>
      <c r="F10" s="9"/>
      <c r="G10" s="9"/>
      <c r="H10" s="9"/>
      <c r="I10" s="9"/>
      <c r="J10" s="9"/>
      <c r="K10" s="9"/>
      <c r="L10" s="9"/>
      <c r="M10" s="9"/>
      <c r="N10" s="9"/>
      <c r="O10" s="9"/>
      <c r="P10" s="9"/>
      <c r="Q10" s="9"/>
      <c r="R10" s="9"/>
    </row>
    <row r="11" spans="1:18" ht="25.5" customHeight="1">
      <c r="A11" s="9">
        <v>8</v>
      </c>
      <c r="B11" s="9"/>
      <c r="C11" s="9"/>
      <c r="D11" s="9"/>
      <c r="E11" s="9"/>
      <c r="F11" s="9"/>
      <c r="G11" s="9"/>
      <c r="H11" s="9"/>
      <c r="I11" s="9"/>
      <c r="J11" s="9"/>
      <c r="K11" s="9"/>
      <c r="L11" s="9"/>
      <c r="M11" s="9"/>
      <c r="N11" s="9"/>
      <c r="O11" s="9"/>
      <c r="P11" s="9"/>
      <c r="Q11" s="9"/>
      <c r="R11" s="9"/>
    </row>
    <row r="12" spans="1:18" ht="25.5" customHeight="1">
      <c r="A12" s="9">
        <v>9</v>
      </c>
      <c r="B12" s="9"/>
      <c r="C12" s="9"/>
      <c r="D12" s="9"/>
      <c r="E12" s="9"/>
      <c r="F12" s="9"/>
      <c r="G12" s="9"/>
      <c r="H12" s="9"/>
      <c r="I12" s="9"/>
      <c r="J12" s="9"/>
      <c r="K12" s="9"/>
      <c r="L12" s="9"/>
      <c r="M12" s="9"/>
      <c r="N12" s="9"/>
      <c r="O12" s="9"/>
      <c r="P12" s="9"/>
      <c r="Q12" s="9"/>
      <c r="R12" s="9"/>
    </row>
    <row r="13" spans="1:18" ht="25.5" customHeight="1">
      <c r="A13" s="9">
        <v>10</v>
      </c>
      <c r="B13" s="9"/>
      <c r="C13" s="9"/>
      <c r="D13" s="9"/>
      <c r="E13" s="9"/>
      <c r="F13" s="9"/>
      <c r="G13" s="9"/>
      <c r="H13" s="9"/>
      <c r="I13" s="9"/>
      <c r="J13" s="9"/>
      <c r="K13" s="9"/>
      <c r="L13" s="9"/>
      <c r="M13" s="9"/>
      <c r="N13" s="9"/>
      <c r="O13" s="9"/>
      <c r="P13" s="9"/>
      <c r="Q13" s="9"/>
      <c r="R13" s="9"/>
    </row>
    <row r="14" spans="1:18" ht="25.5" customHeight="1">
      <c r="A14" s="9">
        <v>11</v>
      </c>
      <c r="B14" s="9"/>
      <c r="C14" s="9"/>
      <c r="D14" s="9"/>
      <c r="E14" s="9"/>
      <c r="F14" s="9"/>
      <c r="G14" s="9"/>
      <c r="H14" s="9"/>
      <c r="I14" s="9"/>
      <c r="J14" s="9"/>
      <c r="K14" s="9"/>
      <c r="L14" s="9"/>
      <c r="M14" s="9"/>
      <c r="N14" s="9"/>
      <c r="O14" s="9"/>
      <c r="P14" s="9"/>
      <c r="Q14" s="9"/>
      <c r="R14" s="9"/>
    </row>
    <row r="15" spans="1:18" ht="25.5" customHeight="1">
      <c r="A15" s="9">
        <v>12</v>
      </c>
      <c r="B15" s="9"/>
      <c r="C15" s="9"/>
      <c r="D15" s="9"/>
      <c r="E15" s="9"/>
      <c r="F15" s="9"/>
      <c r="G15" s="9"/>
      <c r="H15" s="9"/>
      <c r="I15" s="9"/>
      <c r="J15" s="9"/>
      <c r="K15" s="9"/>
      <c r="L15" s="9"/>
      <c r="M15" s="9"/>
      <c r="N15" s="9"/>
      <c r="O15" s="9"/>
      <c r="P15" s="9"/>
      <c r="Q15" s="9"/>
      <c r="R15" s="9"/>
    </row>
    <row r="16" spans="1:18" ht="25.5" customHeight="1">
      <c r="A16" s="9">
        <v>13</v>
      </c>
      <c r="B16" s="9"/>
      <c r="C16" s="9"/>
      <c r="D16" s="9"/>
      <c r="E16" s="9"/>
      <c r="F16" s="9"/>
      <c r="G16" s="9"/>
      <c r="H16" s="9"/>
      <c r="I16" s="9"/>
      <c r="J16" s="9"/>
      <c r="K16" s="9"/>
      <c r="L16" s="9"/>
      <c r="M16" s="9"/>
      <c r="N16" s="9"/>
      <c r="O16" s="9"/>
      <c r="P16" s="9"/>
      <c r="Q16" s="9"/>
      <c r="R16" s="9"/>
    </row>
    <row r="17" spans="1:18" ht="25.5" customHeight="1">
      <c r="A17" s="9">
        <v>14</v>
      </c>
      <c r="B17" s="9"/>
      <c r="C17" s="9"/>
      <c r="D17" s="9"/>
      <c r="E17" s="9"/>
      <c r="F17" s="9"/>
      <c r="G17" s="9"/>
      <c r="H17" s="9"/>
      <c r="I17" s="9"/>
      <c r="J17" s="9"/>
      <c r="K17" s="9"/>
      <c r="L17" s="9"/>
      <c r="M17" s="9"/>
      <c r="N17" s="9"/>
      <c r="O17" s="9"/>
      <c r="P17" s="9"/>
      <c r="Q17" s="9"/>
      <c r="R17" s="9"/>
    </row>
    <row r="18" spans="1:18" ht="25.5" customHeight="1">
      <c r="A18" s="9">
        <v>15</v>
      </c>
      <c r="B18" s="9"/>
      <c r="C18" s="9"/>
      <c r="D18" s="9"/>
      <c r="E18" s="9"/>
      <c r="F18" s="9"/>
      <c r="G18" s="9"/>
      <c r="H18" s="9"/>
      <c r="I18" s="9"/>
      <c r="J18" s="9"/>
      <c r="K18" s="9"/>
      <c r="L18" s="9"/>
      <c r="M18" s="9"/>
      <c r="N18" s="9"/>
      <c r="O18" s="9"/>
      <c r="P18" s="9"/>
      <c r="Q18" s="9"/>
      <c r="R18" s="9"/>
    </row>
    <row r="19" spans="1:18" ht="25.5" customHeight="1">
      <c r="A19" s="9">
        <v>16</v>
      </c>
      <c r="B19" s="9"/>
      <c r="C19" s="9"/>
      <c r="D19" s="9"/>
      <c r="E19" s="9"/>
      <c r="F19" s="9"/>
      <c r="G19" s="9"/>
      <c r="H19" s="9"/>
      <c r="I19" s="9"/>
      <c r="J19" s="9"/>
      <c r="K19" s="9"/>
      <c r="L19" s="9"/>
      <c r="M19" s="9"/>
      <c r="N19" s="9"/>
      <c r="O19" s="9"/>
      <c r="P19" s="9"/>
      <c r="Q19" s="9"/>
      <c r="R19" s="9"/>
    </row>
    <row r="20" spans="1:18" ht="25.5" customHeight="1">
      <c r="A20" s="9">
        <v>17</v>
      </c>
      <c r="B20" s="9"/>
      <c r="C20" s="9"/>
      <c r="D20" s="9"/>
      <c r="E20" s="9"/>
      <c r="F20" s="9"/>
      <c r="G20" s="9"/>
      <c r="H20" s="9"/>
      <c r="I20" s="9"/>
      <c r="J20" s="9"/>
      <c r="K20" s="9"/>
      <c r="L20" s="9"/>
      <c r="M20" s="9"/>
      <c r="N20" s="9"/>
      <c r="O20" s="9"/>
      <c r="P20" s="9"/>
      <c r="Q20" s="9"/>
      <c r="R20" s="9"/>
    </row>
    <row r="21" spans="1:18" ht="25.5" customHeight="1">
      <c r="A21" s="9">
        <v>18</v>
      </c>
      <c r="B21" s="9"/>
      <c r="C21" s="9"/>
      <c r="D21" s="9"/>
      <c r="E21" s="9"/>
      <c r="F21" s="9"/>
      <c r="G21" s="9"/>
      <c r="H21" s="9"/>
      <c r="I21" s="9"/>
      <c r="J21" s="9"/>
      <c r="K21" s="9"/>
      <c r="L21" s="9"/>
      <c r="M21" s="9"/>
      <c r="N21" s="9"/>
      <c r="O21" s="9"/>
      <c r="P21" s="9"/>
      <c r="Q21" s="9"/>
      <c r="R21" s="9"/>
    </row>
    <row r="22" spans="1:18" ht="25.5" customHeight="1">
      <c r="A22" s="9">
        <v>19</v>
      </c>
      <c r="B22" s="9"/>
      <c r="C22" s="9"/>
      <c r="D22" s="9"/>
      <c r="E22" s="9"/>
      <c r="F22" s="9"/>
      <c r="G22" s="9"/>
      <c r="H22" s="9"/>
      <c r="I22" s="9"/>
      <c r="J22" s="9"/>
      <c r="K22" s="9"/>
      <c r="L22" s="9"/>
      <c r="M22" s="9"/>
      <c r="N22" s="9"/>
      <c r="O22" s="9"/>
      <c r="P22" s="9"/>
      <c r="Q22" s="9"/>
      <c r="R22" s="9"/>
    </row>
    <row r="23" spans="1:18" ht="25.5" customHeight="1">
      <c r="A23" s="9">
        <v>20</v>
      </c>
      <c r="B23" s="9"/>
      <c r="C23" s="9"/>
      <c r="D23" s="9"/>
      <c r="E23" s="9"/>
      <c r="F23" s="9"/>
      <c r="G23" s="9"/>
      <c r="H23" s="9"/>
      <c r="I23" s="9"/>
      <c r="J23" s="9"/>
      <c r="K23" s="9"/>
      <c r="L23" s="9"/>
      <c r="M23" s="9"/>
      <c r="N23" s="9"/>
      <c r="O23" s="9"/>
      <c r="P23" s="9"/>
      <c r="Q23" s="9"/>
      <c r="R23" s="9"/>
    </row>
    <row r="24" spans="1:18" ht="25.5" customHeight="1">
      <c r="A24" s="9">
        <v>21</v>
      </c>
      <c r="B24" s="9"/>
      <c r="C24" s="9"/>
      <c r="D24" s="9"/>
      <c r="E24" s="9"/>
      <c r="F24" s="9"/>
      <c r="G24" s="9"/>
      <c r="H24" s="9"/>
      <c r="I24" s="9"/>
      <c r="J24" s="9"/>
      <c r="K24" s="9"/>
      <c r="L24" s="9"/>
      <c r="M24" s="9"/>
      <c r="N24" s="9"/>
      <c r="O24" s="9"/>
      <c r="P24" s="9"/>
      <c r="Q24" s="9"/>
      <c r="R24" s="9"/>
    </row>
    <row r="25" spans="1:18" ht="25.5" customHeight="1">
      <c r="A25" s="9">
        <v>22</v>
      </c>
      <c r="B25" s="9"/>
      <c r="C25" s="9"/>
      <c r="D25" s="9"/>
      <c r="E25" s="9"/>
      <c r="F25" s="9"/>
      <c r="G25" s="9"/>
      <c r="H25" s="9"/>
      <c r="I25" s="9"/>
      <c r="J25" s="9"/>
      <c r="K25" s="9"/>
      <c r="L25" s="9"/>
      <c r="M25" s="9"/>
      <c r="N25" s="9"/>
      <c r="O25" s="9"/>
      <c r="P25" s="9"/>
      <c r="Q25" s="9"/>
      <c r="R25" s="9"/>
    </row>
    <row r="26" spans="1:18" ht="25.5" customHeight="1">
      <c r="A26" s="9">
        <v>23</v>
      </c>
      <c r="B26" s="9"/>
      <c r="C26" s="9"/>
      <c r="D26" s="9"/>
      <c r="E26" s="9"/>
      <c r="F26" s="9"/>
      <c r="G26" s="9"/>
      <c r="H26" s="9"/>
      <c r="I26" s="9"/>
      <c r="J26" s="9"/>
      <c r="K26" s="9"/>
      <c r="L26" s="9"/>
      <c r="M26" s="9"/>
      <c r="N26" s="9"/>
      <c r="O26" s="9"/>
      <c r="P26" s="9"/>
      <c r="Q26" s="9"/>
      <c r="R26" s="9"/>
    </row>
    <row r="27" spans="1:18" ht="25.5" customHeight="1">
      <c r="A27" s="9">
        <v>24</v>
      </c>
      <c r="B27" s="9"/>
      <c r="C27" s="9"/>
      <c r="D27" s="9"/>
      <c r="E27" s="9"/>
      <c r="F27" s="9"/>
      <c r="G27" s="9"/>
      <c r="H27" s="9"/>
      <c r="I27" s="9"/>
      <c r="J27" s="9"/>
      <c r="K27" s="9"/>
      <c r="L27" s="9"/>
      <c r="M27" s="9"/>
      <c r="N27" s="9"/>
      <c r="O27" s="9"/>
      <c r="P27" s="9"/>
      <c r="Q27" s="9"/>
      <c r="R27" s="9"/>
    </row>
    <row r="28" spans="1:18" ht="25.5" customHeight="1">
      <c r="A28" s="9">
        <v>25</v>
      </c>
      <c r="B28" s="9"/>
      <c r="C28" s="9"/>
      <c r="D28" s="9"/>
      <c r="E28" s="9"/>
      <c r="F28" s="9"/>
      <c r="G28" s="9"/>
      <c r="H28" s="9"/>
      <c r="I28" s="9"/>
      <c r="J28" s="9"/>
      <c r="K28" s="9"/>
      <c r="L28" s="9"/>
      <c r="M28" s="9"/>
      <c r="N28" s="9"/>
      <c r="O28" s="9"/>
      <c r="P28" s="9"/>
      <c r="Q28" s="9"/>
      <c r="R28" s="9"/>
    </row>
  </sheetData>
  <autoFilter ref="A3:R28" xr:uid="{00000000-0009-0000-0000-000004000000}"/>
  <mergeCells count="1">
    <mergeCell ref="A1:R1"/>
  </mergeCells>
  <dataValidations count="2">
    <dataValidation type="list" allowBlank="1" sqref="E4:E28" xr:uid="{00000000-0002-0000-0400-000000000000}">
      <formula1>"T0,T1,T2,PP,Mihonki,MP"</formula1>
      <formula2>0</formula2>
    </dataValidation>
    <dataValidation type="list" allowBlank="1" sqref="Q4:Q28" xr:uid="{00000000-0002-0000-0400-000001000000}">
      <formula1>"OK,NG"</formula1>
      <formula2>0</formula2>
    </dataValidation>
  </dataValidations>
  <pageMargins left="0.4" right="0.4" top="0.5" bottom="0.5" header="0.511811023622047" footer="0.511811023622047"/>
  <pageSetup scale="62" fitToHeight="0" orientation="landscape" horizontalDpi="300" verticalDpi="300"/>
  <headerFooter>
    <oddFooter>&amp;LQLGCN-04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21"/>
  <sheetViews>
    <sheetView showGridLines="0" zoomScaleNormal="100" workbookViewId="0">
      <selection activeCell="F9" sqref="F9"/>
    </sheetView>
  </sheetViews>
  <sheetFormatPr defaultColWidth="8.6640625" defaultRowHeight="14.4"/>
  <cols>
    <col min="1" max="1" width="23.6640625" customWidth="1"/>
    <col min="2" max="2" width="34" customWidth="1"/>
    <col min="3" max="3" width="12" customWidth="1"/>
    <col min="4" max="4" width="11" customWidth="1"/>
    <col min="5" max="5" width="10" customWidth="1"/>
    <col min="6" max="6" width="12" customWidth="1"/>
    <col min="7" max="7" width="22" customWidth="1"/>
  </cols>
  <sheetData>
    <row r="1" spans="1:7" ht="45.75" customHeight="1">
      <c r="A1" s="200" t="s">
        <v>189</v>
      </c>
      <c r="B1" s="199"/>
      <c r="C1" s="199"/>
      <c r="D1" s="199"/>
      <c r="E1" s="199"/>
      <c r="F1" s="199"/>
      <c r="G1" s="199"/>
    </row>
    <row r="3" spans="1:7" ht="27" customHeight="1">
      <c r="A3" s="3" t="s">
        <v>69</v>
      </c>
      <c r="B3" s="214"/>
      <c r="C3" s="204"/>
      <c r="D3" s="204"/>
      <c r="E3" s="204"/>
      <c r="F3" s="204"/>
      <c r="G3" s="204"/>
    </row>
    <row r="4" spans="1:7" ht="27" customHeight="1">
      <c r="A4" s="3" t="s">
        <v>190</v>
      </c>
      <c r="B4" s="214"/>
      <c r="C4" s="204"/>
      <c r="D4" s="204"/>
      <c r="E4" s="204"/>
      <c r="F4" s="204"/>
      <c r="G4" s="204"/>
    </row>
    <row r="5" spans="1:7" ht="27" customHeight="1">
      <c r="A5" s="3" t="s">
        <v>72</v>
      </c>
      <c r="B5" s="214"/>
      <c r="C5" s="204"/>
      <c r="D5" s="204"/>
      <c r="E5" s="204"/>
      <c r="F5" s="204"/>
      <c r="G5" s="204"/>
    </row>
    <row r="6" spans="1:7" ht="27" customHeight="1">
      <c r="A6" s="3" t="s">
        <v>71</v>
      </c>
      <c r="B6" s="214"/>
      <c r="C6" s="204"/>
      <c r="D6" s="204"/>
      <c r="E6" s="204"/>
      <c r="F6" s="204"/>
      <c r="G6" s="204"/>
    </row>
    <row r="8" spans="1:7" ht="55.5" customHeight="1">
      <c r="A8" s="4" t="s">
        <v>191</v>
      </c>
      <c r="B8" s="4" t="s">
        <v>192</v>
      </c>
      <c r="C8" s="4" t="s">
        <v>193</v>
      </c>
      <c r="D8" s="4" t="s">
        <v>75</v>
      </c>
      <c r="E8" s="4" t="s">
        <v>194</v>
      </c>
      <c r="F8" s="4" t="s">
        <v>77</v>
      </c>
      <c r="G8" s="4" t="s">
        <v>78</v>
      </c>
    </row>
    <row r="9" spans="1:7" ht="36" customHeight="1">
      <c r="A9" s="5" t="s">
        <v>195</v>
      </c>
      <c r="B9" s="5" t="s">
        <v>196</v>
      </c>
      <c r="C9" s="5" t="s">
        <v>122</v>
      </c>
      <c r="D9" s="5">
        <v>30</v>
      </c>
      <c r="E9" s="5"/>
      <c r="F9" s="5">
        <f>D9*E9/5</f>
        <v>0</v>
      </c>
      <c r="G9" s="5"/>
    </row>
    <row r="10" spans="1:7" ht="36" customHeight="1">
      <c r="A10" s="5" t="s">
        <v>197</v>
      </c>
      <c r="B10" s="5" t="s">
        <v>198</v>
      </c>
      <c r="C10" s="5" t="s">
        <v>115</v>
      </c>
      <c r="D10" s="5">
        <v>20</v>
      </c>
      <c r="E10" s="5"/>
      <c r="F10" s="5">
        <f>D10*E10/5</f>
        <v>0</v>
      </c>
      <c r="G10" s="5"/>
    </row>
    <row r="11" spans="1:7" ht="36" customHeight="1">
      <c r="A11" s="5" t="s">
        <v>199</v>
      </c>
      <c r="B11" s="5" t="s">
        <v>200</v>
      </c>
      <c r="C11" s="5" t="s">
        <v>115</v>
      </c>
      <c r="D11" s="5">
        <v>25</v>
      </c>
      <c r="E11" s="5"/>
      <c r="F11" s="5">
        <f>D11*E11/5</f>
        <v>0</v>
      </c>
      <c r="G11" s="5"/>
    </row>
    <row r="12" spans="1:7" ht="35.4" customHeight="1">
      <c r="A12" s="5" t="s">
        <v>201</v>
      </c>
      <c r="B12" s="5" t="s">
        <v>202</v>
      </c>
      <c r="C12" s="5" t="s">
        <v>203</v>
      </c>
      <c r="D12" s="5">
        <v>15</v>
      </c>
      <c r="E12" s="5"/>
      <c r="F12" s="5">
        <f>D12*E12/5</f>
        <v>0</v>
      </c>
      <c r="G12" s="5"/>
    </row>
    <row r="13" spans="1:7" ht="40.200000000000003" customHeight="1">
      <c r="A13" s="5" t="s">
        <v>204</v>
      </c>
      <c r="B13" s="5" t="s">
        <v>205</v>
      </c>
      <c r="C13" s="5" t="s">
        <v>206</v>
      </c>
      <c r="D13" s="5">
        <v>10</v>
      </c>
      <c r="E13" s="5"/>
      <c r="F13" s="5">
        <f>D13*E13/5</f>
        <v>0</v>
      </c>
      <c r="G13" s="5"/>
    </row>
    <row r="14" spans="1:7" ht="24" customHeight="1">
      <c r="A14" s="207" t="s">
        <v>92</v>
      </c>
      <c r="B14" s="204"/>
      <c r="C14" s="206"/>
      <c r="D14" s="2">
        <f>SUM(D9:D13)</f>
        <v>100</v>
      </c>
      <c r="E14" s="6"/>
      <c r="F14" s="2">
        <f>SUM(F9:F13)</f>
        <v>0</v>
      </c>
      <c r="G14" s="6"/>
    </row>
    <row r="15" spans="1:7" ht="24.6" customHeight="1">
      <c r="A15" s="205" t="s">
        <v>207</v>
      </c>
      <c r="B15" s="204"/>
      <c r="C15" s="206"/>
      <c r="D15" s="208" t="str">
        <f>IF(F14&gt;=90,"A",IF(F14&gt;=75,"B",IF(F14&gt;=60,"C","D")))</f>
        <v>D</v>
      </c>
      <c r="E15" s="204"/>
      <c r="F15" s="204"/>
      <c r="G15" s="206"/>
    </row>
    <row r="17" spans="1:7">
      <c r="A17" s="7" t="s">
        <v>208</v>
      </c>
    </row>
    <row r="18" spans="1:7" ht="15" customHeight="1">
      <c r="A18" s="209" t="s">
        <v>209</v>
      </c>
      <c r="B18" s="199"/>
      <c r="C18" s="199"/>
      <c r="D18" s="199"/>
      <c r="E18" s="199"/>
      <c r="F18" s="199"/>
      <c r="G18" s="199"/>
    </row>
    <row r="19" spans="1:7" ht="15" customHeight="1">
      <c r="A19" s="209" t="s">
        <v>210</v>
      </c>
      <c r="B19" s="199"/>
      <c r="C19" s="199"/>
      <c r="D19" s="199"/>
      <c r="E19" s="199"/>
      <c r="F19" s="199"/>
      <c r="G19" s="199"/>
    </row>
    <row r="20" spans="1:7" ht="15" customHeight="1">
      <c r="A20" s="209" t="s">
        <v>211</v>
      </c>
      <c r="B20" s="199"/>
      <c r="C20" s="199"/>
      <c r="D20" s="199"/>
      <c r="E20" s="199"/>
      <c r="F20" s="199"/>
      <c r="G20" s="199"/>
    </row>
    <row r="21" spans="1:7" ht="15" customHeight="1">
      <c r="A21" s="209" t="s">
        <v>212</v>
      </c>
      <c r="B21" s="199"/>
      <c r="C21" s="199"/>
      <c r="D21" s="199"/>
      <c r="E21" s="199"/>
      <c r="F21" s="199"/>
      <c r="G21" s="199"/>
    </row>
  </sheetData>
  <mergeCells count="12">
    <mergeCell ref="B3:G3"/>
    <mergeCell ref="A1:G1"/>
    <mergeCell ref="A18:G18"/>
    <mergeCell ref="B5:G5"/>
    <mergeCell ref="A21:G21"/>
    <mergeCell ref="A14:C14"/>
    <mergeCell ref="A20:G20"/>
    <mergeCell ref="B4:G4"/>
    <mergeCell ref="D15:G15"/>
    <mergeCell ref="A15:C15"/>
    <mergeCell ref="A19:G19"/>
    <mergeCell ref="B6:G6"/>
  </mergeCells>
  <dataValidations count="1">
    <dataValidation type="list" allowBlank="1" sqref="E9:E13" xr:uid="{00000000-0002-0000-0500-000000000000}">
      <formula1>"1,2,3,4,5"</formula1>
      <formula2>0</formula2>
    </dataValidation>
  </dataValidations>
  <pageMargins left="0" right="0.4" top="0" bottom="0" header="0" footer="0"/>
  <pageSetup fitToHeight="0" orientation="landscape" horizontalDpi="300" verticalDpi="300"/>
  <headerFooter>
    <oddFooter>&amp;LQLGCN-05</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5B543-71B9-472E-B34F-59CDEB60DB22}">
  <dimension ref="B1:R78"/>
  <sheetViews>
    <sheetView showGridLines="0" view="pageLayout" topLeftCell="A6" zoomScale="40" zoomScaleNormal="70" zoomScaleSheetLayoutView="40" zoomScalePageLayoutView="40" workbookViewId="0">
      <selection activeCell="D35" sqref="D35"/>
    </sheetView>
  </sheetViews>
  <sheetFormatPr defaultColWidth="10" defaultRowHeight="15.6"/>
  <cols>
    <col min="1" max="1" width="2.88671875" style="44" customWidth="1"/>
    <col min="2" max="2" width="23.77734375" style="44" customWidth="1"/>
    <col min="3" max="3" width="6.21875" style="44" customWidth="1"/>
    <col min="4" max="4" width="86.5546875" style="44" customWidth="1"/>
    <col min="5" max="5" width="84.88671875" style="45" customWidth="1"/>
    <col min="6" max="6" width="74.109375" style="45" customWidth="1"/>
    <col min="7" max="7" width="17.88671875" style="45" customWidth="1"/>
    <col min="8" max="8" width="9.109375" style="46" customWidth="1"/>
    <col min="9" max="9" width="9" style="46" customWidth="1"/>
    <col min="10" max="10" width="53.21875" style="46" customWidth="1"/>
    <col min="11" max="11" width="17.33203125" style="44" customWidth="1"/>
    <col min="12" max="12" width="19.6640625" style="44" customWidth="1"/>
    <col min="13" max="13" width="15.6640625" style="44" customWidth="1"/>
    <col min="14" max="14" width="12.44140625" style="44" customWidth="1"/>
    <col min="15" max="15" width="31.21875" style="44" customWidth="1"/>
    <col min="16" max="16" width="38.21875" style="44" customWidth="1"/>
    <col min="17" max="18" width="10.77734375" style="47" customWidth="1"/>
    <col min="19" max="19" width="4.88671875" style="44" customWidth="1"/>
    <col min="20" max="16384" width="10" style="44"/>
  </cols>
  <sheetData>
    <row r="1" spans="2:18" ht="20.25" customHeight="1">
      <c r="B1" s="43"/>
      <c r="K1" s="45"/>
      <c r="L1" s="45"/>
      <c r="R1" s="48"/>
    </row>
    <row r="2" spans="2:18" ht="22.5" customHeight="1">
      <c r="B2" s="347" t="s">
        <v>478</v>
      </c>
      <c r="C2" s="347"/>
      <c r="D2" s="347"/>
      <c r="K2" s="49"/>
      <c r="L2" s="50"/>
      <c r="M2" s="51"/>
      <c r="N2" s="52"/>
      <c r="O2" s="53"/>
    </row>
    <row r="3" spans="2:18" ht="18.75" customHeight="1" thickBot="1">
      <c r="K3" s="54"/>
      <c r="L3" s="54"/>
      <c r="O3" s="55"/>
    </row>
    <row r="4" spans="2:18" ht="57.75" customHeight="1">
      <c r="B4" s="348" t="s">
        <v>479</v>
      </c>
      <c r="C4" s="349"/>
      <c r="D4" s="349"/>
      <c r="E4" s="350"/>
    </row>
    <row r="5" spans="2:18" ht="14.25" customHeight="1">
      <c r="B5" s="351"/>
      <c r="C5" s="352"/>
      <c r="D5" s="352"/>
      <c r="E5" s="353"/>
    </row>
    <row r="6" spans="2:18" ht="21.75" customHeight="1" thickBot="1">
      <c r="B6" s="354"/>
      <c r="C6" s="355"/>
      <c r="D6" s="355"/>
      <c r="E6" s="356"/>
      <c r="F6" s="56"/>
      <c r="G6" s="56"/>
      <c r="H6" s="357"/>
      <c r="I6" s="357"/>
      <c r="J6" s="357"/>
      <c r="O6" s="55"/>
    </row>
    <row r="7" spans="2:18" ht="7.5" customHeight="1">
      <c r="B7" s="44" t="s">
        <v>480</v>
      </c>
      <c r="H7" s="45"/>
      <c r="I7" s="45"/>
      <c r="J7" s="45"/>
    </row>
    <row r="8" spans="2:18" ht="24" customHeight="1">
      <c r="B8" s="57" t="s">
        <v>481</v>
      </c>
      <c r="C8" s="57"/>
      <c r="D8" s="57"/>
      <c r="E8" s="58"/>
      <c r="F8" s="56"/>
      <c r="G8" s="56"/>
      <c r="H8" s="338"/>
      <c r="I8" s="338"/>
      <c r="J8" s="338"/>
    </row>
    <row r="9" spans="2:18" ht="24" customHeight="1">
      <c r="B9" s="57" t="s">
        <v>482</v>
      </c>
      <c r="C9" s="57"/>
      <c r="D9" s="60"/>
      <c r="E9" s="61"/>
      <c r="F9" s="56"/>
      <c r="G9" s="56"/>
      <c r="H9" s="338"/>
      <c r="I9" s="338"/>
      <c r="J9" s="338"/>
    </row>
    <row r="10" spans="2:18" ht="24" customHeight="1">
      <c r="B10" s="358" t="s">
        <v>483</v>
      </c>
      <c r="C10" s="358"/>
      <c r="D10" s="358"/>
      <c r="E10" s="62"/>
      <c r="F10" s="56"/>
      <c r="G10" s="56"/>
      <c r="H10" s="338"/>
      <c r="I10" s="338"/>
      <c r="J10" s="338"/>
    </row>
    <row r="11" spans="2:18" ht="24" customHeight="1">
      <c r="B11" s="63" t="s">
        <v>484</v>
      </c>
      <c r="C11" s="63"/>
      <c r="D11" s="64"/>
      <c r="E11" s="62"/>
      <c r="F11" s="65"/>
      <c r="G11" s="65"/>
      <c r="H11" s="338"/>
      <c r="I11" s="338"/>
      <c r="J11" s="338"/>
    </row>
    <row r="12" spans="2:18" ht="21.75" customHeight="1">
      <c r="C12" s="65"/>
      <c r="D12" s="339" t="s">
        <v>485</v>
      </c>
      <c r="E12" s="342" t="s">
        <v>486</v>
      </c>
      <c r="F12" s="56"/>
      <c r="G12" s="56"/>
      <c r="H12" s="338"/>
      <c r="I12" s="338"/>
      <c r="J12" s="338"/>
    </row>
    <row r="13" spans="2:18" ht="21.9" customHeight="1">
      <c r="C13" s="345" t="s">
        <v>487</v>
      </c>
      <c r="D13" s="340"/>
      <c r="E13" s="343"/>
      <c r="F13" s="56"/>
      <c r="G13" s="56"/>
      <c r="H13" s="338"/>
      <c r="I13" s="338"/>
      <c r="J13" s="338"/>
    </row>
    <row r="14" spans="2:18" ht="12.75" customHeight="1">
      <c r="C14" s="346"/>
      <c r="D14" s="340"/>
      <c r="E14" s="343"/>
      <c r="F14" s="65"/>
      <c r="G14" s="65"/>
    </row>
    <row r="15" spans="2:18" s="73" customFormat="1" ht="40.5" customHeight="1" thickBot="1">
      <c r="B15" s="66"/>
      <c r="C15" s="67"/>
      <c r="D15" s="341"/>
      <c r="E15" s="344"/>
      <c r="F15" s="68"/>
      <c r="G15" s="69"/>
      <c r="H15" s="70"/>
      <c r="I15" s="71"/>
      <c r="J15" s="72"/>
      <c r="Q15" s="74"/>
      <c r="R15" s="74"/>
    </row>
    <row r="16" spans="2:18" ht="42" customHeight="1">
      <c r="B16" s="326" t="s">
        <v>488</v>
      </c>
      <c r="C16" s="328"/>
      <c r="D16" s="330" t="s">
        <v>489</v>
      </c>
      <c r="E16" s="332" t="s">
        <v>490</v>
      </c>
      <c r="F16" s="333"/>
      <c r="G16" s="75"/>
      <c r="H16" s="334" t="s">
        <v>491</v>
      </c>
      <c r="I16" s="336" t="s">
        <v>492</v>
      </c>
      <c r="J16" s="309" t="s">
        <v>493</v>
      </c>
      <c r="K16" s="310"/>
      <c r="L16" s="310"/>
      <c r="M16" s="311"/>
      <c r="N16" s="315" t="s">
        <v>494</v>
      </c>
      <c r="O16" s="315"/>
      <c r="P16" s="316"/>
      <c r="Q16" s="319" t="s">
        <v>495</v>
      </c>
      <c r="R16" s="321" t="s">
        <v>496</v>
      </c>
    </row>
    <row r="17" spans="2:18" ht="54.75" customHeight="1" thickBot="1">
      <c r="B17" s="327"/>
      <c r="C17" s="329"/>
      <c r="D17" s="331"/>
      <c r="E17" s="76" t="s">
        <v>497</v>
      </c>
      <c r="F17" s="323" t="s">
        <v>498</v>
      </c>
      <c r="G17" s="324"/>
      <c r="H17" s="335"/>
      <c r="I17" s="337"/>
      <c r="J17" s="312"/>
      <c r="K17" s="313"/>
      <c r="L17" s="313"/>
      <c r="M17" s="314"/>
      <c r="N17" s="317"/>
      <c r="O17" s="317"/>
      <c r="P17" s="318"/>
      <c r="Q17" s="320"/>
      <c r="R17" s="322"/>
    </row>
    <row r="18" spans="2:18" ht="108" customHeight="1">
      <c r="B18" s="237" t="s">
        <v>499</v>
      </c>
      <c r="C18" s="77">
        <v>1</v>
      </c>
      <c r="D18" s="78" t="s">
        <v>500</v>
      </c>
      <c r="E18" s="79" t="s">
        <v>501</v>
      </c>
      <c r="F18" s="299" t="s">
        <v>502</v>
      </c>
      <c r="G18" s="300"/>
      <c r="H18" s="80"/>
      <c r="I18" s="81"/>
      <c r="J18" s="242"/>
      <c r="K18" s="243"/>
      <c r="L18" s="243"/>
      <c r="M18" s="244"/>
      <c r="N18" s="243"/>
      <c r="O18" s="243"/>
      <c r="P18" s="325"/>
      <c r="Q18" s="82"/>
      <c r="R18" s="83"/>
    </row>
    <row r="19" spans="2:18" ht="66.75" customHeight="1">
      <c r="B19" s="271"/>
      <c r="C19" s="84">
        <v>2</v>
      </c>
      <c r="D19" s="85" t="s">
        <v>503</v>
      </c>
      <c r="E19" s="86" t="s">
        <v>504</v>
      </c>
      <c r="F19" s="305" t="s">
        <v>505</v>
      </c>
      <c r="G19" s="306"/>
      <c r="H19" s="88"/>
      <c r="I19" s="89"/>
      <c r="J19" s="249"/>
      <c r="K19" s="250"/>
      <c r="L19" s="250"/>
      <c r="M19" s="251"/>
      <c r="N19" s="252"/>
      <c r="O19" s="252"/>
      <c r="P19" s="253"/>
      <c r="Q19" s="90"/>
      <c r="R19" s="91"/>
    </row>
    <row r="20" spans="2:18" ht="117.75" customHeight="1">
      <c r="B20" s="271"/>
      <c r="C20" s="84">
        <v>3</v>
      </c>
      <c r="D20" s="92" t="s">
        <v>506</v>
      </c>
      <c r="E20" s="86" t="s">
        <v>507</v>
      </c>
      <c r="F20" s="305" t="s">
        <v>508</v>
      </c>
      <c r="G20" s="306"/>
      <c r="H20" s="88"/>
      <c r="I20" s="89"/>
      <c r="J20" s="249"/>
      <c r="K20" s="250"/>
      <c r="L20" s="250"/>
      <c r="M20" s="251"/>
      <c r="N20" s="252"/>
      <c r="O20" s="252"/>
      <c r="P20" s="253"/>
      <c r="Q20" s="90"/>
      <c r="R20" s="91"/>
    </row>
    <row r="21" spans="2:18" ht="93.75" customHeight="1">
      <c r="B21" s="271"/>
      <c r="C21" s="84">
        <v>4</v>
      </c>
      <c r="D21" s="92" t="s">
        <v>509</v>
      </c>
      <c r="E21" s="86" t="s">
        <v>510</v>
      </c>
      <c r="F21" s="247" t="s">
        <v>511</v>
      </c>
      <c r="G21" s="248"/>
      <c r="H21" s="88"/>
      <c r="I21" s="89"/>
      <c r="J21" s="249"/>
      <c r="K21" s="250"/>
      <c r="L21" s="250"/>
      <c r="M21" s="251"/>
      <c r="N21" s="252"/>
      <c r="O21" s="252"/>
      <c r="P21" s="253"/>
      <c r="Q21" s="90"/>
      <c r="R21" s="91"/>
    </row>
    <row r="22" spans="2:18" ht="108.75" customHeight="1">
      <c r="B22" s="271"/>
      <c r="C22" s="84">
        <v>5</v>
      </c>
      <c r="D22" s="92" t="s">
        <v>512</v>
      </c>
      <c r="E22" s="93" t="s">
        <v>513</v>
      </c>
      <c r="F22" s="292" t="s">
        <v>514</v>
      </c>
      <c r="G22" s="293"/>
      <c r="H22" s="88"/>
      <c r="I22" s="81"/>
      <c r="J22" s="249"/>
      <c r="K22" s="250"/>
      <c r="L22" s="250"/>
      <c r="M22" s="251"/>
      <c r="N22" s="252"/>
      <c r="O22" s="252"/>
      <c r="P22" s="253"/>
      <c r="Q22" s="82"/>
      <c r="R22" s="83"/>
    </row>
    <row r="23" spans="2:18" ht="87.75" customHeight="1">
      <c r="B23" s="271"/>
      <c r="C23" s="84">
        <v>6</v>
      </c>
      <c r="D23" s="85" t="s">
        <v>515</v>
      </c>
      <c r="E23" s="87" t="s">
        <v>516</v>
      </c>
      <c r="F23" s="305" t="s">
        <v>517</v>
      </c>
      <c r="G23" s="306"/>
      <c r="H23" s="88"/>
      <c r="I23" s="89"/>
      <c r="J23" s="249"/>
      <c r="K23" s="250"/>
      <c r="L23" s="250"/>
      <c r="M23" s="251"/>
      <c r="N23" s="252"/>
      <c r="O23" s="252"/>
      <c r="P23" s="253"/>
      <c r="Q23" s="90"/>
      <c r="R23" s="91"/>
    </row>
    <row r="24" spans="2:18" ht="96" customHeight="1">
      <c r="B24" s="271"/>
      <c r="C24" s="84">
        <v>7</v>
      </c>
      <c r="D24" s="92" t="s">
        <v>518</v>
      </c>
      <c r="E24" s="86" t="s">
        <v>519</v>
      </c>
      <c r="F24" s="279" t="s">
        <v>520</v>
      </c>
      <c r="G24" s="280"/>
      <c r="H24" s="88"/>
      <c r="I24" s="95"/>
      <c r="J24" s="249"/>
      <c r="K24" s="250"/>
      <c r="L24" s="250"/>
      <c r="M24" s="251"/>
      <c r="N24" s="252"/>
      <c r="O24" s="252"/>
      <c r="P24" s="253"/>
      <c r="Q24" s="96"/>
      <c r="R24" s="97"/>
    </row>
    <row r="25" spans="2:18" ht="135.75" customHeight="1">
      <c r="B25" s="271"/>
      <c r="C25" s="84">
        <v>8</v>
      </c>
      <c r="D25" s="85" t="s">
        <v>521</v>
      </c>
      <c r="E25" s="86" t="s">
        <v>522</v>
      </c>
      <c r="F25" s="305" t="s">
        <v>523</v>
      </c>
      <c r="G25" s="306"/>
      <c r="H25" s="88"/>
      <c r="I25" s="89"/>
      <c r="J25" s="307"/>
      <c r="K25" s="308"/>
      <c r="L25" s="308"/>
      <c r="M25" s="248"/>
      <c r="N25" s="252"/>
      <c r="O25" s="252"/>
      <c r="P25" s="253"/>
      <c r="Q25" s="90"/>
      <c r="R25" s="91"/>
    </row>
    <row r="26" spans="2:18" ht="135.75" customHeight="1">
      <c r="B26" s="271"/>
      <c r="C26" s="98">
        <v>9</v>
      </c>
      <c r="D26" s="92" t="s">
        <v>524</v>
      </c>
      <c r="E26" s="94" t="s">
        <v>525</v>
      </c>
      <c r="F26" s="279" t="s">
        <v>526</v>
      </c>
      <c r="G26" s="280"/>
      <c r="H26" s="88"/>
      <c r="I26" s="95"/>
      <c r="J26" s="254"/>
      <c r="K26" s="255"/>
      <c r="L26" s="255"/>
      <c r="M26" s="256"/>
      <c r="N26" s="257"/>
      <c r="O26" s="257"/>
      <c r="P26" s="258"/>
      <c r="Q26" s="96"/>
      <c r="R26" s="97"/>
    </row>
    <row r="27" spans="2:18" ht="141" customHeight="1">
      <c r="B27" s="271"/>
      <c r="C27" s="99">
        <v>10</v>
      </c>
      <c r="D27" s="100" t="s">
        <v>527</v>
      </c>
      <c r="E27" s="101" t="s">
        <v>528</v>
      </c>
      <c r="F27" s="292" t="s">
        <v>529</v>
      </c>
      <c r="G27" s="293"/>
      <c r="H27" s="88"/>
      <c r="I27" s="95"/>
      <c r="J27" s="249"/>
      <c r="K27" s="250"/>
      <c r="L27" s="250"/>
      <c r="M27" s="251"/>
      <c r="N27" s="252"/>
      <c r="O27" s="252"/>
      <c r="P27" s="253"/>
      <c r="Q27" s="96"/>
      <c r="R27" s="97"/>
    </row>
    <row r="28" spans="2:18" ht="218.25" customHeight="1" thickBot="1">
      <c r="B28" s="272"/>
      <c r="C28" s="99">
        <v>11</v>
      </c>
      <c r="D28" s="102" t="s">
        <v>530</v>
      </c>
      <c r="E28" s="103" t="s">
        <v>531</v>
      </c>
      <c r="F28" s="301" t="s">
        <v>532</v>
      </c>
      <c r="G28" s="302"/>
      <c r="H28" s="88"/>
      <c r="I28" s="104"/>
      <c r="J28" s="249"/>
      <c r="K28" s="250"/>
      <c r="L28" s="250"/>
      <c r="M28" s="251"/>
      <c r="N28" s="252"/>
      <c r="O28" s="252"/>
      <c r="P28" s="253"/>
      <c r="Q28" s="90"/>
      <c r="R28" s="91"/>
    </row>
    <row r="29" spans="2:18" ht="134.25" customHeight="1">
      <c r="B29" s="237" t="s">
        <v>533</v>
      </c>
      <c r="C29" s="77">
        <v>12</v>
      </c>
      <c r="D29" s="105" t="s">
        <v>534</v>
      </c>
      <c r="E29" s="106" t="s">
        <v>535</v>
      </c>
      <c r="F29" s="303" t="s">
        <v>536</v>
      </c>
      <c r="G29" s="304"/>
      <c r="H29" s="107"/>
      <c r="I29" s="81"/>
      <c r="J29" s="242"/>
      <c r="K29" s="243"/>
      <c r="L29" s="243"/>
      <c r="M29" s="244"/>
      <c r="N29" s="245"/>
      <c r="O29" s="245"/>
      <c r="P29" s="246"/>
      <c r="Q29" s="108"/>
      <c r="R29" s="109"/>
    </row>
    <row r="30" spans="2:18" ht="192" customHeight="1" thickBot="1">
      <c r="B30" s="271"/>
      <c r="C30" s="110">
        <v>13</v>
      </c>
      <c r="D30" s="111" t="s">
        <v>537</v>
      </c>
      <c r="E30" s="112" t="s">
        <v>538</v>
      </c>
      <c r="F30" s="286" t="s">
        <v>539</v>
      </c>
      <c r="G30" s="287"/>
      <c r="H30" s="107"/>
      <c r="I30" s="104"/>
      <c r="J30" s="217"/>
      <c r="K30" s="218"/>
      <c r="L30" s="218"/>
      <c r="M30" s="219"/>
      <c r="N30" s="220"/>
      <c r="O30" s="220"/>
      <c r="P30" s="221"/>
      <c r="Q30" s="116"/>
      <c r="R30" s="117"/>
    </row>
    <row r="31" spans="2:18" ht="144.75" customHeight="1">
      <c r="B31" s="237" t="s">
        <v>540</v>
      </c>
      <c r="C31" s="118">
        <v>14</v>
      </c>
      <c r="D31" s="119" t="s">
        <v>541</v>
      </c>
      <c r="E31" s="120" t="s">
        <v>542</v>
      </c>
      <c r="F31" s="299" t="s">
        <v>543</v>
      </c>
      <c r="G31" s="300"/>
      <c r="H31" s="107"/>
      <c r="I31" s="81"/>
      <c r="J31" s="273"/>
      <c r="K31" s="274"/>
      <c r="L31" s="274"/>
      <c r="M31" s="275"/>
      <c r="N31" s="276"/>
      <c r="O31" s="276"/>
      <c r="P31" s="277"/>
      <c r="Q31" s="82"/>
      <c r="R31" s="83"/>
    </row>
    <row r="32" spans="2:18" ht="75" customHeight="1" thickBot="1">
      <c r="B32" s="271"/>
      <c r="C32" s="98">
        <v>15</v>
      </c>
      <c r="D32" s="123" t="s">
        <v>544</v>
      </c>
      <c r="E32" s="124" t="s">
        <v>545</v>
      </c>
      <c r="F32" s="286" t="s">
        <v>546</v>
      </c>
      <c r="G32" s="287"/>
      <c r="H32" s="107"/>
      <c r="I32" s="95"/>
      <c r="J32" s="254"/>
      <c r="K32" s="255"/>
      <c r="L32" s="255"/>
      <c r="M32" s="256"/>
      <c r="N32" s="257"/>
      <c r="O32" s="257"/>
      <c r="P32" s="258"/>
      <c r="Q32" s="96"/>
      <c r="R32" s="97"/>
    </row>
    <row r="33" spans="2:18" ht="75" customHeight="1">
      <c r="B33" s="237" t="s">
        <v>547</v>
      </c>
      <c r="C33" s="77">
        <v>16</v>
      </c>
      <c r="D33" s="125" t="s">
        <v>548</v>
      </c>
      <c r="E33" s="126" t="s">
        <v>549</v>
      </c>
      <c r="F33" s="299" t="s">
        <v>550</v>
      </c>
      <c r="G33" s="300"/>
      <c r="H33" s="80"/>
      <c r="I33" s="127"/>
      <c r="J33" s="242"/>
      <c r="K33" s="243"/>
      <c r="L33" s="243"/>
      <c r="M33" s="244"/>
      <c r="N33" s="245"/>
      <c r="O33" s="245"/>
      <c r="P33" s="246"/>
      <c r="Q33" s="108"/>
      <c r="R33" s="109"/>
    </row>
    <row r="34" spans="2:18" ht="109.5" customHeight="1">
      <c r="B34" s="238"/>
      <c r="C34" s="84">
        <v>17</v>
      </c>
      <c r="D34" s="102" t="s">
        <v>551</v>
      </c>
      <c r="E34" s="94" t="s">
        <v>552</v>
      </c>
      <c r="F34" s="279" t="s">
        <v>553</v>
      </c>
      <c r="G34" s="280"/>
      <c r="H34" s="107"/>
      <c r="I34" s="89"/>
      <c r="J34" s="249"/>
      <c r="K34" s="250"/>
      <c r="L34" s="250"/>
      <c r="M34" s="251"/>
      <c r="N34" s="252"/>
      <c r="O34" s="252"/>
      <c r="P34" s="253"/>
      <c r="Q34" s="90"/>
      <c r="R34" s="91"/>
    </row>
    <row r="35" spans="2:18" ht="103.5" customHeight="1">
      <c r="B35" s="238"/>
      <c r="C35" s="84">
        <v>18</v>
      </c>
      <c r="D35" s="102" t="s">
        <v>554</v>
      </c>
      <c r="E35" s="86" t="s">
        <v>555</v>
      </c>
      <c r="F35" s="247" t="s">
        <v>556</v>
      </c>
      <c r="G35" s="248"/>
      <c r="H35" s="107"/>
      <c r="I35" s="89"/>
      <c r="J35" s="249"/>
      <c r="K35" s="250"/>
      <c r="L35" s="250"/>
      <c r="M35" s="251"/>
      <c r="N35" s="252"/>
      <c r="O35" s="252"/>
      <c r="P35" s="253"/>
      <c r="Q35" s="90"/>
      <c r="R35" s="91"/>
    </row>
    <row r="36" spans="2:18" s="129" customFormat="1" ht="102" customHeight="1">
      <c r="B36" s="238"/>
      <c r="C36" s="98">
        <v>19</v>
      </c>
      <c r="D36" s="102" t="s">
        <v>557</v>
      </c>
      <c r="E36" s="94" t="s">
        <v>558</v>
      </c>
      <c r="F36" s="279" t="s">
        <v>559</v>
      </c>
      <c r="G36" s="280"/>
      <c r="H36" s="107"/>
      <c r="I36" s="89"/>
      <c r="J36" s="249"/>
      <c r="K36" s="250"/>
      <c r="L36" s="250"/>
      <c r="M36" s="251"/>
      <c r="N36" s="252"/>
      <c r="O36" s="252"/>
      <c r="P36" s="253"/>
      <c r="Q36" s="90"/>
      <c r="R36" s="91"/>
    </row>
    <row r="37" spans="2:18" ht="174" customHeight="1">
      <c r="B37" s="238"/>
      <c r="C37" s="84">
        <v>20</v>
      </c>
      <c r="D37" s="130" t="s">
        <v>560</v>
      </c>
      <c r="E37" s="131" t="s">
        <v>561</v>
      </c>
      <c r="F37" s="297" t="s">
        <v>562</v>
      </c>
      <c r="G37" s="298"/>
      <c r="H37" s="132"/>
      <c r="I37" s="95"/>
      <c r="J37" s="254"/>
      <c r="K37" s="255"/>
      <c r="L37" s="255"/>
      <c r="M37" s="256"/>
      <c r="N37" s="257"/>
      <c r="O37" s="257"/>
      <c r="P37" s="258"/>
      <c r="Q37" s="96"/>
      <c r="R37" s="97"/>
    </row>
    <row r="38" spans="2:18" ht="99" customHeight="1" thickBot="1">
      <c r="B38" s="239"/>
      <c r="C38" s="84">
        <v>21</v>
      </c>
      <c r="D38" s="133" t="s">
        <v>563</v>
      </c>
      <c r="E38" s="134" t="s">
        <v>564</v>
      </c>
      <c r="F38" s="295" t="s">
        <v>565</v>
      </c>
      <c r="G38" s="296"/>
      <c r="H38" s="135"/>
      <c r="I38" s="104"/>
      <c r="J38" s="217"/>
      <c r="K38" s="218"/>
      <c r="L38" s="218"/>
      <c r="M38" s="219"/>
      <c r="N38" s="114"/>
      <c r="O38" s="114"/>
      <c r="P38" s="115"/>
      <c r="Q38" s="116"/>
      <c r="R38" s="117"/>
    </row>
    <row r="39" spans="2:18" ht="131.25" customHeight="1">
      <c r="B39" s="237" t="s">
        <v>566</v>
      </c>
      <c r="C39" s="77">
        <v>22</v>
      </c>
      <c r="D39" s="78" t="s">
        <v>567</v>
      </c>
      <c r="E39" s="79" t="s">
        <v>568</v>
      </c>
      <c r="F39" s="290" t="s">
        <v>569</v>
      </c>
      <c r="G39" s="291"/>
      <c r="H39" s="136"/>
      <c r="I39" s="127"/>
      <c r="J39" s="242"/>
      <c r="K39" s="243"/>
      <c r="L39" s="243"/>
      <c r="M39" s="244"/>
      <c r="N39" s="245"/>
      <c r="O39" s="245"/>
      <c r="P39" s="246"/>
      <c r="Q39" s="108"/>
      <c r="R39" s="109"/>
    </row>
    <row r="40" spans="2:18" s="137" customFormat="1" ht="109.5" customHeight="1">
      <c r="B40" s="238"/>
      <c r="C40" s="84">
        <v>23</v>
      </c>
      <c r="D40" s="102" t="s">
        <v>570</v>
      </c>
      <c r="E40" s="94" t="s">
        <v>571</v>
      </c>
      <c r="F40" s="279" t="s">
        <v>572</v>
      </c>
      <c r="G40" s="280"/>
      <c r="H40" s="88"/>
      <c r="I40" s="89"/>
      <c r="J40" s="249"/>
      <c r="K40" s="250"/>
      <c r="L40" s="250"/>
      <c r="M40" s="251"/>
      <c r="N40" s="252"/>
      <c r="O40" s="252"/>
      <c r="P40" s="253"/>
      <c r="Q40" s="90"/>
      <c r="R40" s="91"/>
    </row>
    <row r="41" spans="2:18" s="137" customFormat="1" ht="120" customHeight="1">
      <c r="B41" s="238"/>
      <c r="C41" s="84">
        <v>24</v>
      </c>
      <c r="D41" s="92" t="s">
        <v>573</v>
      </c>
      <c r="E41" s="94" t="s">
        <v>574</v>
      </c>
      <c r="F41" s="279" t="s">
        <v>575</v>
      </c>
      <c r="G41" s="280"/>
      <c r="H41" s="107"/>
      <c r="I41" s="89"/>
      <c r="J41" s="249"/>
      <c r="K41" s="250"/>
      <c r="L41" s="250"/>
      <c r="M41" s="251"/>
      <c r="N41" s="252"/>
      <c r="O41" s="252"/>
      <c r="P41" s="253"/>
      <c r="Q41" s="90"/>
      <c r="R41" s="91"/>
    </row>
    <row r="42" spans="2:18" ht="106.5" customHeight="1" thickBot="1">
      <c r="B42" s="239"/>
      <c r="C42" s="110">
        <v>25</v>
      </c>
      <c r="D42" s="138" t="s">
        <v>576</v>
      </c>
      <c r="E42" s="113" t="s">
        <v>577</v>
      </c>
      <c r="F42" s="286" t="s">
        <v>578</v>
      </c>
      <c r="G42" s="287"/>
      <c r="H42" s="135"/>
      <c r="I42" s="104"/>
      <c r="J42" s="217"/>
      <c r="K42" s="218"/>
      <c r="L42" s="218"/>
      <c r="M42" s="219"/>
      <c r="N42" s="114"/>
      <c r="O42" s="114"/>
      <c r="P42" s="115"/>
      <c r="Q42" s="116"/>
      <c r="R42" s="117"/>
    </row>
    <row r="43" spans="2:18" s="137" customFormat="1" ht="109.5" customHeight="1">
      <c r="B43" s="288" t="s">
        <v>579</v>
      </c>
      <c r="C43" s="77">
        <v>26</v>
      </c>
      <c r="D43" s="125" t="s">
        <v>580</v>
      </c>
      <c r="E43" s="126" t="s">
        <v>581</v>
      </c>
      <c r="F43" s="290" t="s">
        <v>582</v>
      </c>
      <c r="G43" s="291"/>
      <c r="H43" s="80"/>
      <c r="I43" s="127"/>
      <c r="J43" s="242"/>
      <c r="K43" s="243"/>
      <c r="L43" s="243"/>
      <c r="M43" s="244"/>
      <c r="N43" s="245"/>
      <c r="O43" s="245"/>
      <c r="P43" s="246"/>
      <c r="Q43" s="108"/>
      <c r="R43" s="109"/>
    </row>
    <row r="44" spans="2:18" s="129" customFormat="1" ht="84.75" customHeight="1" thickBot="1">
      <c r="B44" s="294"/>
      <c r="C44" s="110">
        <v>27</v>
      </c>
      <c r="D44" s="139" t="s">
        <v>583</v>
      </c>
      <c r="E44" s="113" t="s">
        <v>584</v>
      </c>
      <c r="F44" s="295" t="s">
        <v>585</v>
      </c>
      <c r="G44" s="296"/>
      <c r="H44" s="135"/>
      <c r="I44" s="104"/>
      <c r="J44" s="217"/>
      <c r="K44" s="218"/>
      <c r="L44" s="218"/>
      <c r="M44" s="219"/>
      <c r="N44" s="220"/>
      <c r="O44" s="220"/>
      <c r="P44" s="221"/>
      <c r="Q44" s="116"/>
      <c r="R44" s="117"/>
    </row>
    <row r="45" spans="2:18" ht="156.75" customHeight="1">
      <c r="B45" s="237" t="s">
        <v>586</v>
      </c>
      <c r="C45" s="77">
        <v>28</v>
      </c>
      <c r="D45" s="140" t="s">
        <v>587</v>
      </c>
      <c r="E45" s="141" t="s">
        <v>588</v>
      </c>
      <c r="F45" s="290" t="s">
        <v>589</v>
      </c>
      <c r="G45" s="291"/>
      <c r="H45" s="80"/>
      <c r="I45" s="81"/>
      <c r="J45" s="273"/>
      <c r="K45" s="274"/>
      <c r="L45" s="274"/>
      <c r="M45" s="275"/>
      <c r="N45" s="276"/>
      <c r="O45" s="276"/>
      <c r="P45" s="277"/>
      <c r="Q45" s="82"/>
      <c r="R45" s="83"/>
    </row>
    <row r="46" spans="2:18" ht="108" customHeight="1">
      <c r="B46" s="238"/>
      <c r="C46" s="118">
        <v>29</v>
      </c>
      <c r="D46" s="92" t="s">
        <v>590</v>
      </c>
      <c r="E46" s="103" t="s">
        <v>591</v>
      </c>
      <c r="F46" s="292" t="s">
        <v>592</v>
      </c>
      <c r="G46" s="293"/>
      <c r="H46" s="107"/>
      <c r="I46" s="81"/>
      <c r="J46" s="249"/>
      <c r="K46" s="250"/>
      <c r="L46" s="250"/>
      <c r="M46" s="251"/>
      <c r="N46" s="121"/>
      <c r="O46" s="121"/>
      <c r="P46" s="122"/>
      <c r="Q46" s="82"/>
      <c r="R46" s="83"/>
    </row>
    <row r="47" spans="2:18" s="129" customFormat="1" ht="75" customHeight="1">
      <c r="B47" s="238"/>
      <c r="C47" s="84">
        <v>30</v>
      </c>
      <c r="D47" s="102" t="s">
        <v>593</v>
      </c>
      <c r="E47" s="94" t="s">
        <v>594</v>
      </c>
      <c r="F47" s="292" t="s">
        <v>595</v>
      </c>
      <c r="G47" s="293"/>
      <c r="H47" s="88"/>
      <c r="I47" s="89"/>
      <c r="J47" s="249"/>
      <c r="K47" s="250"/>
      <c r="L47" s="250"/>
      <c r="M47" s="251"/>
      <c r="N47" s="252"/>
      <c r="O47" s="252"/>
      <c r="P47" s="253"/>
      <c r="Q47" s="90"/>
      <c r="R47" s="91"/>
    </row>
    <row r="48" spans="2:18" ht="96.75" customHeight="1">
      <c r="B48" s="238"/>
      <c r="C48" s="84">
        <v>31</v>
      </c>
      <c r="D48" s="142" t="s">
        <v>596</v>
      </c>
      <c r="E48" s="86" t="s">
        <v>597</v>
      </c>
      <c r="F48" s="247" t="s">
        <v>598</v>
      </c>
      <c r="G48" s="248"/>
      <c r="H48" s="88"/>
      <c r="I48" s="89"/>
      <c r="J48" s="249"/>
      <c r="K48" s="250"/>
      <c r="L48" s="250"/>
      <c r="M48" s="251"/>
      <c r="N48" s="252"/>
      <c r="O48" s="252"/>
      <c r="P48" s="253"/>
      <c r="Q48" s="90"/>
      <c r="R48" s="91"/>
    </row>
    <row r="49" spans="2:18" s="129" customFormat="1" ht="174.75" customHeight="1">
      <c r="B49" s="238"/>
      <c r="C49" s="84">
        <v>32</v>
      </c>
      <c r="D49" s="142" t="s">
        <v>599</v>
      </c>
      <c r="E49" s="94" t="s">
        <v>600</v>
      </c>
      <c r="F49" s="279" t="s">
        <v>601</v>
      </c>
      <c r="G49" s="280"/>
      <c r="H49" s="88"/>
      <c r="I49" s="89"/>
      <c r="J49" s="249"/>
      <c r="K49" s="250"/>
      <c r="L49" s="250"/>
      <c r="M49" s="251"/>
      <c r="N49" s="252"/>
      <c r="O49" s="252"/>
      <c r="P49" s="253"/>
      <c r="Q49" s="90"/>
      <c r="R49" s="91"/>
    </row>
    <row r="50" spans="2:18" s="129" customFormat="1" ht="179.25" customHeight="1" thickBot="1">
      <c r="B50" s="238"/>
      <c r="C50" s="98">
        <v>33</v>
      </c>
      <c r="D50" s="143" t="s">
        <v>602</v>
      </c>
      <c r="E50" s="113" t="s">
        <v>603</v>
      </c>
      <c r="F50" s="286" t="s">
        <v>604</v>
      </c>
      <c r="G50" s="287"/>
      <c r="H50" s="135"/>
      <c r="I50" s="104"/>
      <c r="J50" s="217"/>
      <c r="K50" s="218"/>
      <c r="L50" s="218"/>
      <c r="M50" s="219"/>
      <c r="N50" s="220"/>
      <c r="O50" s="220"/>
      <c r="P50" s="221"/>
      <c r="Q50" s="116"/>
      <c r="R50" s="117"/>
    </row>
    <row r="51" spans="2:18" s="129" customFormat="1" ht="133.5" customHeight="1">
      <c r="B51" s="288" t="s">
        <v>605</v>
      </c>
      <c r="C51" s="77">
        <v>34</v>
      </c>
      <c r="D51" s="144" t="s">
        <v>606</v>
      </c>
      <c r="E51" s="86" t="s">
        <v>607</v>
      </c>
      <c r="F51" s="290" t="s">
        <v>608</v>
      </c>
      <c r="G51" s="291"/>
      <c r="H51" s="80"/>
      <c r="I51" s="89"/>
      <c r="J51" s="242"/>
      <c r="K51" s="243"/>
      <c r="L51" s="243"/>
      <c r="M51" s="244"/>
      <c r="N51" s="245"/>
      <c r="O51" s="245"/>
      <c r="P51" s="246"/>
      <c r="Q51" s="90"/>
      <c r="R51" s="91"/>
    </row>
    <row r="52" spans="2:18" s="129" customFormat="1" ht="133.5" customHeight="1">
      <c r="B52" s="289"/>
      <c r="C52" s="84">
        <v>35</v>
      </c>
      <c r="D52" s="142" t="s">
        <v>609</v>
      </c>
      <c r="E52" s="94" t="s">
        <v>610</v>
      </c>
      <c r="F52" s="279" t="s">
        <v>611</v>
      </c>
      <c r="G52" s="280"/>
      <c r="H52" s="88"/>
      <c r="I52" s="89"/>
      <c r="J52" s="273"/>
      <c r="K52" s="274"/>
      <c r="L52" s="274"/>
      <c r="M52" s="275"/>
      <c r="N52" s="252"/>
      <c r="O52" s="252"/>
      <c r="P52" s="253"/>
      <c r="Q52" s="90"/>
      <c r="R52" s="91"/>
    </row>
    <row r="53" spans="2:18" s="129" customFormat="1" ht="133.5" customHeight="1" thickBot="1">
      <c r="B53" s="289"/>
      <c r="C53" s="110">
        <v>36</v>
      </c>
      <c r="D53" s="145" t="s">
        <v>612</v>
      </c>
      <c r="E53" s="113" t="s">
        <v>613</v>
      </c>
      <c r="F53" s="286" t="s">
        <v>614</v>
      </c>
      <c r="G53" s="287"/>
      <c r="H53" s="135"/>
      <c r="I53" s="95"/>
      <c r="J53" s="254"/>
      <c r="K53" s="255"/>
      <c r="L53" s="255"/>
      <c r="M53" s="256"/>
      <c r="N53" s="257"/>
      <c r="O53" s="257"/>
      <c r="P53" s="258"/>
      <c r="Q53" s="96"/>
      <c r="R53" s="97"/>
    </row>
    <row r="54" spans="2:18" ht="133.5" customHeight="1">
      <c r="B54" s="237" t="s">
        <v>615</v>
      </c>
      <c r="C54" s="77">
        <v>37</v>
      </c>
      <c r="D54" s="146" t="s">
        <v>616</v>
      </c>
      <c r="E54" s="79" t="s">
        <v>617</v>
      </c>
      <c r="F54" s="261" t="s">
        <v>618</v>
      </c>
      <c r="G54" s="262"/>
      <c r="H54" s="80"/>
      <c r="I54" s="127"/>
      <c r="J54" s="242"/>
      <c r="K54" s="243"/>
      <c r="L54" s="243"/>
      <c r="M54" s="244"/>
      <c r="N54" s="245"/>
      <c r="O54" s="245"/>
      <c r="P54" s="246"/>
      <c r="Q54" s="108"/>
      <c r="R54" s="109"/>
    </row>
    <row r="55" spans="2:18" ht="146.25" customHeight="1">
      <c r="B55" s="238"/>
      <c r="C55" s="84">
        <v>38</v>
      </c>
      <c r="D55" s="147" t="s">
        <v>619</v>
      </c>
      <c r="E55" s="94" t="s">
        <v>620</v>
      </c>
      <c r="F55" s="279" t="s">
        <v>621</v>
      </c>
      <c r="G55" s="280"/>
      <c r="H55" s="88"/>
      <c r="I55" s="89"/>
      <c r="J55" s="249"/>
      <c r="K55" s="250"/>
      <c r="L55" s="250"/>
      <c r="M55" s="251"/>
      <c r="N55" s="252"/>
      <c r="O55" s="252"/>
      <c r="P55" s="253"/>
      <c r="Q55" s="90"/>
      <c r="R55" s="91"/>
    </row>
    <row r="56" spans="2:18" ht="120.75" customHeight="1">
      <c r="B56" s="238"/>
      <c r="C56" s="84">
        <v>39</v>
      </c>
      <c r="D56" s="148" t="s">
        <v>622</v>
      </c>
      <c r="E56" s="94" t="s">
        <v>623</v>
      </c>
      <c r="F56" s="279" t="s">
        <v>624</v>
      </c>
      <c r="G56" s="280"/>
      <c r="H56" s="88"/>
      <c r="I56" s="89"/>
      <c r="J56" s="249"/>
      <c r="K56" s="250"/>
      <c r="L56" s="250"/>
      <c r="M56" s="251"/>
      <c r="N56" s="252"/>
      <c r="O56" s="252"/>
      <c r="P56" s="253"/>
      <c r="Q56" s="90"/>
      <c r="R56" s="91"/>
    </row>
    <row r="57" spans="2:18" ht="120.75" customHeight="1" thickBot="1">
      <c r="B57" s="238"/>
      <c r="C57" s="110">
        <v>40</v>
      </c>
      <c r="D57" s="149" t="s">
        <v>625</v>
      </c>
      <c r="E57" s="150" t="s">
        <v>626</v>
      </c>
      <c r="F57" s="284" t="s">
        <v>627</v>
      </c>
      <c r="G57" s="285"/>
      <c r="H57" s="132"/>
      <c r="I57" s="95"/>
      <c r="J57" s="217"/>
      <c r="K57" s="218"/>
      <c r="L57" s="218"/>
      <c r="M57" s="219"/>
      <c r="N57" s="220"/>
      <c r="O57" s="220"/>
      <c r="P57" s="221"/>
      <c r="Q57" s="116"/>
      <c r="R57" s="117"/>
    </row>
    <row r="58" spans="2:18" ht="120.75" customHeight="1">
      <c r="B58" s="237" t="s">
        <v>628</v>
      </c>
      <c r="C58" s="77">
        <v>41</v>
      </c>
      <c r="D58" s="151" t="s">
        <v>629</v>
      </c>
      <c r="E58" s="152" t="s">
        <v>630</v>
      </c>
      <c r="F58" s="240" t="s">
        <v>631</v>
      </c>
      <c r="G58" s="241"/>
      <c r="H58" s="80"/>
      <c r="I58" s="127"/>
      <c r="J58" s="273"/>
      <c r="K58" s="274"/>
      <c r="L58" s="274"/>
      <c r="M58" s="275"/>
      <c r="N58" s="276"/>
      <c r="O58" s="276"/>
      <c r="P58" s="277"/>
      <c r="Q58" s="82"/>
      <c r="R58" s="83"/>
    </row>
    <row r="59" spans="2:18" ht="75" customHeight="1">
      <c r="B59" s="271"/>
      <c r="C59" s="84">
        <v>42</v>
      </c>
      <c r="D59" s="153" t="s">
        <v>632</v>
      </c>
      <c r="E59" s="154" t="s">
        <v>633</v>
      </c>
      <c r="F59" s="247" t="s">
        <v>634</v>
      </c>
      <c r="G59" s="278"/>
      <c r="H59" s="88"/>
      <c r="I59" s="89"/>
      <c r="J59" s="249"/>
      <c r="K59" s="250"/>
      <c r="L59" s="250"/>
      <c r="M59" s="251"/>
      <c r="N59" s="252"/>
      <c r="O59" s="252"/>
      <c r="P59" s="253"/>
      <c r="Q59" s="90"/>
      <c r="R59" s="91"/>
    </row>
    <row r="60" spans="2:18" ht="75" customHeight="1">
      <c r="B60" s="271"/>
      <c r="C60" s="84">
        <v>43</v>
      </c>
      <c r="D60" s="92" t="s">
        <v>635</v>
      </c>
      <c r="E60" s="86" t="s">
        <v>636</v>
      </c>
      <c r="F60" s="279" t="s">
        <v>637</v>
      </c>
      <c r="G60" s="280"/>
      <c r="H60" s="88"/>
      <c r="I60" s="89"/>
      <c r="J60" s="281"/>
      <c r="K60" s="282"/>
      <c r="L60" s="282"/>
      <c r="M60" s="283"/>
      <c r="N60" s="252"/>
      <c r="O60" s="252"/>
      <c r="P60" s="253"/>
      <c r="Q60" s="90"/>
      <c r="R60" s="91"/>
    </row>
    <row r="61" spans="2:18" ht="75" customHeight="1" thickBot="1">
      <c r="B61" s="272"/>
      <c r="C61" s="98">
        <v>44</v>
      </c>
      <c r="D61" s="155" t="s">
        <v>638</v>
      </c>
      <c r="E61" s="156" t="s">
        <v>639</v>
      </c>
      <c r="F61" s="215" t="s">
        <v>640</v>
      </c>
      <c r="G61" s="216"/>
      <c r="H61" s="135"/>
      <c r="I61" s="95"/>
      <c r="J61" s="254"/>
      <c r="K61" s="255"/>
      <c r="L61" s="255"/>
      <c r="M61" s="256"/>
      <c r="N61" s="257"/>
      <c r="O61" s="257"/>
      <c r="P61" s="258"/>
      <c r="Q61" s="96"/>
      <c r="R61" s="97"/>
    </row>
    <row r="62" spans="2:18" s="163" customFormat="1" ht="75" customHeight="1">
      <c r="B62" s="259" t="s">
        <v>641</v>
      </c>
      <c r="C62" s="77">
        <v>45</v>
      </c>
      <c r="D62" s="158" t="s">
        <v>642</v>
      </c>
      <c r="E62" s="159" t="s">
        <v>643</v>
      </c>
      <c r="F62" s="261" t="s">
        <v>644</v>
      </c>
      <c r="G62" s="262"/>
      <c r="H62" s="128"/>
      <c r="I62" s="160"/>
      <c r="J62" s="263"/>
      <c r="K62" s="264"/>
      <c r="L62" s="264"/>
      <c r="M62" s="265"/>
      <c r="N62" s="245"/>
      <c r="O62" s="245"/>
      <c r="P62" s="246"/>
      <c r="Q62" s="161"/>
      <c r="R62" s="162"/>
    </row>
    <row r="63" spans="2:18" s="163" customFormat="1" ht="75" customHeight="1">
      <c r="B63" s="259"/>
      <c r="C63" s="84">
        <v>46</v>
      </c>
      <c r="D63" s="164" t="s">
        <v>645</v>
      </c>
      <c r="E63" s="165" t="s">
        <v>646</v>
      </c>
      <c r="F63" s="266" t="s">
        <v>647</v>
      </c>
      <c r="G63" s="267"/>
      <c r="H63" s="166"/>
      <c r="I63" s="167"/>
      <c r="J63" s="268"/>
      <c r="K63" s="269"/>
      <c r="L63" s="269"/>
      <c r="M63" s="270"/>
      <c r="N63" s="252"/>
      <c r="O63" s="252"/>
      <c r="P63" s="253"/>
      <c r="Q63" s="168"/>
      <c r="R63" s="169"/>
    </row>
    <row r="64" spans="2:18" s="163" customFormat="1" ht="100.5" customHeight="1" thickBot="1">
      <c r="B64" s="260"/>
      <c r="C64" s="110">
        <v>47</v>
      </c>
      <c r="D64" s="170" t="s">
        <v>648</v>
      </c>
      <c r="E64" s="171" t="s">
        <v>649</v>
      </c>
      <c r="F64" s="232" t="s">
        <v>650</v>
      </c>
      <c r="G64" s="233"/>
      <c r="H64" s="172"/>
      <c r="I64" s="173"/>
      <c r="J64" s="234"/>
      <c r="K64" s="235"/>
      <c r="L64" s="235"/>
      <c r="M64" s="236"/>
      <c r="N64" s="220"/>
      <c r="O64" s="220"/>
      <c r="P64" s="221"/>
      <c r="Q64" s="174"/>
      <c r="R64" s="175"/>
    </row>
    <row r="65" spans="2:18" ht="75" customHeight="1">
      <c r="B65" s="237" t="s">
        <v>651</v>
      </c>
      <c r="C65" s="77">
        <v>48</v>
      </c>
      <c r="D65" s="78" t="s">
        <v>652</v>
      </c>
      <c r="E65" s="126" t="s">
        <v>653</v>
      </c>
      <c r="F65" s="240" t="s">
        <v>654</v>
      </c>
      <c r="G65" s="241"/>
      <c r="H65" s="80"/>
      <c r="I65" s="127"/>
      <c r="J65" s="242"/>
      <c r="K65" s="243"/>
      <c r="L65" s="243"/>
      <c r="M65" s="244"/>
      <c r="N65" s="245"/>
      <c r="O65" s="245"/>
      <c r="P65" s="246"/>
      <c r="Q65" s="108"/>
      <c r="R65" s="109"/>
    </row>
    <row r="66" spans="2:18" ht="75" customHeight="1">
      <c r="B66" s="238"/>
      <c r="C66" s="84">
        <v>49</v>
      </c>
      <c r="D66" s="176" t="s">
        <v>655</v>
      </c>
      <c r="E66" s="86" t="s">
        <v>656</v>
      </c>
      <c r="F66" s="247" t="s">
        <v>657</v>
      </c>
      <c r="G66" s="248"/>
      <c r="H66" s="88"/>
      <c r="I66" s="89"/>
      <c r="J66" s="249"/>
      <c r="K66" s="250"/>
      <c r="L66" s="250"/>
      <c r="M66" s="251"/>
      <c r="N66" s="252"/>
      <c r="O66" s="252"/>
      <c r="P66" s="253"/>
      <c r="Q66" s="90"/>
      <c r="R66" s="91"/>
    </row>
    <row r="67" spans="2:18" ht="132.75" customHeight="1" thickBot="1">
      <c r="B67" s="239"/>
      <c r="C67" s="110">
        <v>50</v>
      </c>
      <c r="D67" s="145" t="s">
        <v>658</v>
      </c>
      <c r="E67" s="157" t="s">
        <v>659</v>
      </c>
      <c r="F67" s="215" t="s">
        <v>660</v>
      </c>
      <c r="G67" s="216"/>
      <c r="H67" s="135"/>
      <c r="I67" s="104"/>
      <c r="J67" s="217"/>
      <c r="K67" s="218"/>
      <c r="L67" s="218"/>
      <c r="M67" s="219"/>
      <c r="N67" s="220"/>
      <c r="O67" s="220"/>
      <c r="P67" s="221"/>
      <c r="Q67" s="116"/>
      <c r="R67" s="117"/>
    </row>
    <row r="68" spans="2:18" ht="48" customHeight="1" thickBot="1">
      <c r="B68" s="177"/>
      <c r="C68" s="178"/>
      <c r="D68" s="179"/>
      <c r="E68" s="180"/>
      <c r="F68" s="180"/>
      <c r="G68" s="181" t="s">
        <v>661</v>
      </c>
      <c r="H68" s="182">
        <f>COUNT(H18:H67)</f>
        <v>0</v>
      </c>
      <c r="I68" s="183"/>
      <c r="J68" s="184"/>
      <c r="K68" s="184"/>
      <c r="L68" s="184"/>
      <c r="M68" s="184"/>
      <c r="N68" s="185"/>
      <c r="O68" s="185"/>
      <c r="P68" s="185"/>
    </row>
    <row r="69" spans="2:18" ht="48" customHeight="1" thickBot="1">
      <c r="B69" s="177"/>
      <c r="C69" s="186"/>
      <c r="D69" s="186"/>
      <c r="G69" s="181" t="s">
        <v>662</v>
      </c>
      <c r="H69" s="182">
        <f>COUNTIF(I18:I67,"●")</f>
        <v>0</v>
      </c>
      <c r="I69" s="183"/>
      <c r="J69" s="181" t="s">
        <v>663</v>
      </c>
      <c r="K69" s="187"/>
      <c r="L69" s="187"/>
      <c r="N69" s="178"/>
      <c r="Q69" s="188"/>
    </row>
    <row r="70" spans="2:18" ht="48" customHeight="1" thickBot="1">
      <c r="G70" s="181" t="s">
        <v>664</v>
      </c>
      <c r="H70" s="189" t="str">
        <f>IF(H68=0,"",ROUND(SUM(H18:H67)/(H68*2)*100,1))</f>
        <v/>
      </c>
      <c r="I70" s="190"/>
      <c r="J70" s="181" t="str">
        <f>IF(H70="","",IF(H70&lt;60,"不合格 / Không đạt",IF(AND(H70&gt;=80,H69=0,COUNTIF(H18:H67,0)=0),"合格 / Đạt","条件付合格 / Đạt có điều kiện")))</f>
        <v/>
      </c>
      <c r="K70" s="222" t="s">
        <v>665</v>
      </c>
      <c r="L70" s="223"/>
      <c r="M70" s="223"/>
      <c r="N70" s="223"/>
      <c r="O70" s="223"/>
      <c r="P70" s="223"/>
      <c r="Q70" s="224"/>
      <c r="R70" s="231"/>
    </row>
    <row r="71" spans="2:18" ht="22.5" customHeight="1">
      <c r="F71" s="187" t="s">
        <v>666</v>
      </c>
      <c r="G71" s="187"/>
      <c r="J71" s="44"/>
      <c r="K71" s="225"/>
      <c r="L71" s="226"/>
      <c r="M71" s="226"/>
      <c r="N71" s="226"/>
      <c r="O71" s="226"/>
      <c r="P71" s="226"/>
      <c r="Q71" s="227"/>
      <c r="R71" s="231"/>
    </row>
    <row r="72" spans="2:18" ht="22.5" customHeight="1">
      <c r="F72" s="192" t="s">
        <v>667</v>
      </c>
      <c r="G72" s="192"/>
      <c r="I72" s="44"/>
      <c r="K72" s="225"/>
      <c r="L72" s="226"/>
      <c r="M72" s="226"/>
      <c r="N72" s="226"/>
      <c r="O72" s="226"/>
      <c r="P72" s="226"/>
      <c r="Q72" s="227"/>
      <c r="R72" s="231"/>
    </row>
    <row r="73" spans="2:18" ht="22.5" customHeight="1">
      <c r="F73" s="192" t="s">
        <v>668</v>
      </c>
      <c r="G73" s="192"/>
      <c r="I73" s="44"/>
      <c r="K73" s="225"/>
      <c r="L73" s="226"/>
      <c r="M73" s="226"/>
      <c r="N73" s="226"/>
      <c r="O73" s="226"/>
      <c r="P73" s="226"/>
      <c r="Q73" s="227"/>
      <c r="R73" s="231"/>
    </row>
    <row r="74" spans="2:18" ht="22.5" customHeight="1">
      <c r="F74" s="192" t="s">
        <v>669</v>
      </c>
      <c r="G74" s="192"/>
      <c r="H74" s="193"/>
      <c r="I74" s="193"/>
      <c r="J74" s="45"/>
      <c r="K74" s="225"/>
      <c r="L74" s="226"/>
      <c r="M74" s="226"/>
      <c r="N74" s="226"/>
      <c r="O74" s="226"/>
      <c r="P74" s="226"/>
      <c r="Q74" s="227"/>
      <c r="R74" s="231"/>
    </row>
    <row r="75" spans="2:18" ht="22.5" customHeight="1">
      <c r="F75" s="192" t="s">
        <v>670</v>
      </c>
      <c r="G75" s="192"/>
      <c r="H75" s="193"/>
      <c r="I75" s="193"/>
      <c r="J75" s="45"/>
      <c r="K75" s="225"/>
      <c r="L75" s="226"/>
      <c r="M75" s="226"/>
      <c r="N75" s="226"/>
      <c r="O75" s="226"/>
      <c r="P75" s="226"/>
      <c r="Q75" s="227"/>
      <c r="R75" s="231"/>
    </row>
    <row r="76" spans="2:18" ht="24" customHeight="1" thickBot="1">
      <c r="E76" s="59"/>
      <c r="F76" s="192"/>
      <c r="G76" s="185"/>
      <c r="H76" s="185"/>
      <c r="I76" s="185"/>
      <c r="J76" s="45"/>
      <c r="K76" s="228"/>
      <c r="L76" s="229"/>
      <c r="M76" s="229"/>
      <c r="N76" s="229"/>
      <c r="O76" s="229"/>
      <c r="P76" s="229"/>
      <c r="Q76" s="230"/>
      <c r="R76" s="231"/>
    </row>
    <row r="77" spans="2:18" ht="18.75" customHeight="1">
      <c r="E77" s="59"/>
      <c r="F77" s="192"/>
      <c r="G77" s="59"/>
      <c r="H77" s="194"/>
      <c r="I77" s="45"/>
      <c r="J77" s="45"/>
      <c r="K77" s="55"/>
      <c r="L77" s="55"/>
      <c r="O77" s="178"/>
      <c r="Q77" s="195" t="s">
        <v>671</v>
      </c>
      <c r="R77" s="196"/>
    </row>
    <row r="78" spans="2:18" ht="17.25" customHeight="1">
      <c r="F78" s="44"/>
      <c r="G78" s="44"/>
      <c r="H78" s="197"/>
      <c r="I78" s="45"/>
      <c r="J78" s="45"/>
      <c r="K78" s="178"/>
      <c r="L78" s="178"/>
      <c r="O78" s="178"/>
      <c r="P78" s="178"/>
      <c r="Q78" s="195"/>
      <c r="R78" s="191"/>
    </row>
  </sheetData>
  <mergeCells count="185">
    <mergeCell ref="H11:J11"/>
    <mergeCell ref="D12:D15"/>
    <mergeCell ref="E12:E15"/>
    <mergeCell ref="H12:J12"/>
    <mergeCell ref="C13:C14"/>
    <mergeCell ref="H13:J13"/>
    <mergeCell ref="B2:D2"/>
    <mergeCell ref="B4:E6"/>
    <mergeCell ref="H6:J6"/>
    <mergeCell ref="H8:J8"/>
    <mergeCell ref="H9:J9"/>
    <mergeCell ref="B10:D10"/>
    <mergeCell ref="H10:J10"/>
    <mergeCell ref="J16:M17"/>
    <mergeCell ref="N16:P17"/>
    <mergeCell ref="Q16:Q17"/>
    <mergeCell ref="R16:R17"/>
    <mergeCell ref="F17:G17"/>
    <mergeCell ref="B18:B28"/>
    <mergeCell ref="F18:G18"/>
    <mergeCell ref="J18:M18"/>
    <mergeCell ref="N18:P18"/>
    <mergeCell ref="F19:G19"/>
    <mergeCell ref="B16:B17"/>
    <mergeCell ref="C16:C17"/>
    <mergeCell ref="D16:D17"/>
    <mergeCell ref="E16:F16"/>
    <mergeCell ref="H16:H17"/>
    <mergeCell ref="I16:I17"/>
    <mergeCell ref="F22:G22"/>
    <mergeCell ref="J22:M22"/>
    <mergeCell ref="N22:P22"/>
    <mergeCell ref="F23:G23"/>
    <mergeCell ref="J23:M23"/>
    <mergeCell ref="N23:P23"/>
    <mergeCell ref="J19:M19"/>
    <mergeCell ref="N19:P19"/>
    <mergeCell ref="F20:G20"/>
    <mergeCell ref="J20:M20"/>
    <mergeCell ref="N20:P20"/>
    <mergeCell ref="F21:G21"/>
    <mergeCell ref="J21:M21"/>
    <mergeCell ref="N21:P21"/>
    <mergeCell ref="F26:G26"/>
    <mergeCell ref="J26:M26"/>
    <mergeCell ref="N26:P26"/>
    <mergeCell ref="F27:G27"/>
    <mergeCell ref="J27:M27"/>
    <mergeCell ref="N27:P27"/>
    <mergeCell ref="F24:G24"/>
    <mergeCell ref="J24:M24"/>
    <mergeCell ref="N24:P24"/>
    <mergeCell ref="F25:G25"/>
    <mergeCell ref="J25:M25"/>
    <mergeCell ref="N25:P25"/>
    <mergeCell ref="B31:B32"/>
    <mergeCell ref="F31:G31"/>
    <mergeCell ref="J31:M31"/>
    <mergeCell ref="N31:P31"/>
    <mergeCell ref="F32:G32"/>
    <mergeCell ref="J32:M32"/>
    <mergeCell ref="N32:P32"/>
    <mergeCell ref="F28:G28"/>
    <mergeCell ref="J28:M28"/>
    <mergeCell ref="N28:P28"/>
    <mergeCell ref="B29:B30"/>
    <mergeCell ref="F29:G29"/>
    <mergeCell ref="J29:M29"/>
    <mergeCell ref="N29:P29"/>
    <mergeCell ref="F30:G30"/>
    <mergeCell ref="J30:M30"/>
    <mergeCell ref="N30:P30"/>
    <mergeCell ref="F36:G36"/>
    <mergeCell ref="J36:M36"/>
    <mergeCell ref="N36:P36"/>
    <mergeCell ref="F37:G37"/>
    <mergeCell ref="J37:M37"/>
    <mergeCell ref="N37:P37"/>
    <mergeCell ref="B33:B38"/>
    <mergeCell ref="F33:G33"/>
    <mergeCell ref="J33:M33"/>
    <mergeCell ref="N33:P33"/>
    <mergeCell ref="F34:G34"/>
    <mergeCell ref="J34:M34"/>
    <mergeCell ref="N34:P34"/>
    <mergeCell ref="F35:G35"/>
    <mergeCell ref="J35:M35"/>
    <mergeCell ref="N35:P35"/>
    <mergeCell ref="F38:G38"/>
    <mergeCell ref="J38:M38"/>
    <mergeCell ref="B39:B42"/>
    <mergeCell ref="F39:G39"/>
    <mergeCell ref="J39:M39"/>
    <mergeCell ref="N39:P39"/>
    <mergeCell ref="F40:G40"/>
    <mergeCell ref="J40:M40"/>
    <mergeCell ref="N40:P40"/>
    <mergeCell ref="F41:G41"/>
    <mergeCell ref="J41:M41"/>
    <mergeCell ref="N41:P41"/>
    <mergeCell ref="F42:G42"/>
    <mergeCell ref="J42:M42"/>
    <mergeCell ref="B43:B44"/>
    <mergeCell ref="F43:G43"/>
    <mergeCell ref="J43:M43"/>
    <mergeCell ref="N43:P43"/>
    <mergeCell ref="F44:G44"/>
    <mergeCell ref="J44:M44"/>
    <mergeCell ref="F48:G48"/>
    <mergeCell ref="J48:M48"/>
    <mergeCell ref="N48:P48"/>
    <mergeCell ref="F49:G49"/>
    <mergeCell ref="J49:M49"/>
    <mergeCell ref="N49:P49"/>
    <mergeCell ref="N44:P44"/>
    <mergeCell ref="B45:B50"/>
    <mergeCell ref="F45:G45"/>
    <mergeCell ref="J45:M45"/>
    <mergeCell ref="N45:P45"/>
    <mergeCell ref="F46:G46"/>
    <mergeCell ref="J46:M46"/>
    <mergeCell ref="F47:G47"/>
    <mergeCell ref="J47:M47"/>
    <mergeCell ref="N47:P47"/>
    <mergeCell ref="B54:B57"/>
    <mergeCell ref="F54:G54"/>
    <mergeCell ref="J54:M54"/>
    <mergeCell ref="N54:P54"/>
    <mergeCell ref="F55:G55"/>
    <mergeCell ref="J55:M55"/>
    <mergeCell ref="N55:P55"/>
    <mergeCell ref="F50:G50"/>
    <mergeCell ref="J50:M50"/>
    <mergeCell ref="N50:P50"/>
    <mergeCell ref="B51:B53"/>
    <mergeCell ref="F51:G51"/>
    <mergeCell ref="J51:M51"/>
    <mergeCell ref="N51:P51"/>
    <mergeCell ref="F52:G52"/>
    <mergeCell ref="J52:M52"/>
    <mergeCell ref="N52:P52"/>
    <mergeCell ref="F56:G56"/>
    <mergeCell ref="J56:M56"/>
    <mergeCell ref="N56:P56"/>
    <mergeCell ref="F57:G57"/>
    <mergeCell ref="J57:M57"/>
    <mergeCell ref="N57:P57"/>
    <mergeCell ref="F53:G53"/>
    <mergeCell ref="J53:M53"/>
    <mergeCell ref="N53:P53"/>
    <mergeCell ref="F61:G61"/>
    <mergeCell ref="J61:M61"/>
    <mergeCell ref="N61:P61"/>
    <mergeCell ref="B62:B64"/>
    <mergeCell ref="F62:G62"/>
    <mergeCell ref="J62:M62"/>
    <mergeCell ref="N62:P62"/>
    <mergeCell ref="F63:G63"/>
    <mergeCell ref="J63:M63"/>
    <mergeCell ref="N63:P63"/>
    <mergeCell ref="B58:B61"/>
    <mergeCell ref="F58:G58"/>
    <mergeCell ref="J58:M58"/>
    <mergeCell ref="N58:P58"/>
    <mergeCell ref="F59:G59"/>
    <mergeCell ref="J59:M59"/>
    <mergeCell ref="N59:P59"/>
    <mergeCell ref="F60:G60"/>
    <mergeCell ref="J60:M60"/>
    <mergeCell ref="N60:P60"/>
    <mergeCell ref="F67:G67"/>
    <mergeCell ref="J67:M67"/>
    <mergeCell ref="N67:P67"/>
    <mergeCell ref="K70:Q76"/>
    <mergeCell ref="R70:R76"/>
    <mergeCell ref="F64:G64"/>
    <mergeCell ref="J64:M64"/>
    <mergeCell ref="N64:P64"/>
    <mergeCell ref="B65:B67"/>
    <mergeCell ref="F65:G65"/>
    <mergeCell ref="J65:M65"/>
    <mergeCell ref="N65:P65"/>
    <mergeCell ref="F66:G66"/>
    <mergeCell ref="J66:M66"/>
    <mergeCell ref="N66:P66"/>
  </mergeCells>
  <dataValidations count="2">
    <dataValidation type="list" allowBlank="1" showInputMessage="1" showErrorMessage="1" sqref="H18:H67" xr:uid="{A2A0CCA6-5CF4-463C-865C-36EC5D666AE1}">
      <formula1>"2,1,0,-"</formula1>
    </dataValidation>
    <dataValidation type="list" showInputMessage="1" showErrorMessage="1" sqref="I18:I67" xr:uid="{55E491C2-38BF-453F-A692-6502A9CF766C}">
      <formula1>"●,○,   ,"</formula1>
    </dataValidation>
  </dataValidations>
  <pageMargins left="0.70866141732283505" right="0.31496062992126" top="0.35433070866141703" bottom="0.35433070866141703" header="0.31496062992126" footer="0.31496062992126"/>
  <pageSetup paperSize="8" scale="40" orientation="landscape" r:id="rId1"/>
  <rowBreaks count="1" manualBreakCount="1">
    <brk id="42" max="16383"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49"/>
  <sheetViews>
    <sheetView showGridLines="0" zoomScale="70" zoomScaleNormal="70" workbookViewId="0">
      <pane ySplit="12" topLeftCell="A13" activePane="bottomLeft" state="frozen"/>
      <selection pane="bottomLeft" activeCell="Q13" sqref="Q13"/>
    </sheetView>
  </sheetViews>
  <sheetFormatPr defaultRowHeight="14.4"/>
  <cols>
    <col min="1" max="1" width="6" customWidth="1"/>
    <col min="2" max="2" width="14" customWidth="1"/>
    <col min="3" max="3" width="42" customWidth="1"/>
    <col min="4" max="4" width="24.109375" customWidth="1"/>
    <col min="5" max="5" width="9" customWidth="1"/>
    <col min="6" max="6" width="10" customWidth="1"/>
    <col min="7" max="7" width="16" customWidth="1"/>
    <col min="8" max="8" width="30" customWidth="1"/>
    <col min="9" max="14" width="5" customWidth="1"/>
    <col min="15" max="15" width="12" customWidth="1"/>
    <col min="16" max="16" width="11" customWidth="1"/>
    <col min="17" max="17" width="8" customWidth="1"/>
  </cols>
  <sheetData>
    <row r="1" spans="1:17" ht="45.75" customHeight="1">
      <c r="A1" s="370" t="s">
        <v>235</v>
      </c>
      <c r="B1" s="199"/>
      <c r="C1" s="199"/>
      <c r="D1" s="199"/>
      <c r="E1" s="199"/>
      <c r="F1" s="199"/>
      <c r="G1" s="199"/>
      <c r="H1" s="199"/>
      <c r="I1" s="199"/>
      <c r="J1" s="199"/>
      <c r="K1" s="199"/>
      <c r="L1" s="199"/>
      <c r="M1" s="199"/>
      <c r="N1" s="199"/>
      <c r="O1" s="199"/>
      <c r="P1" s="199"/>
      <c r="Q1" s="199"/>
    </row>
    <row r="3" spans="1:17" ht="26.4" customHeight="1">
      <c r="A3" s="363" t="s">
        <v>236</v>
      </c>
      <c r="B3" s="364"/>
      <c r="C3" s="365"/>
      <c r="D3" s="16"/>
    </row>
    <row r="4" spans="1:17" ht="26.4" customHeight="1">
      <c r="A4" s="363" t="s">
        <v>237</v>
      </c>
      <c r="B4" s="364"/>
      <c r="C4" s="365"/>
      <c r="D4" s="16" t="s">
        <v>238</v>
      </c>
    </row>
    <row r="5" spans="1:17" ht="26.4" customHeight="1">
      <c r="A5" s="363" t="s">
        <v>239</v>
      </c>
      <c r="B5" s="364"/>
      <c r="C5" s="365"/>
      <c r="D5" s="16"/>
    </row>
    <row r="6" spans="1:17" ht="26.4" customHeight="1">
      <c r="A6" s="363" t="s">
        <v>240</v>
      </c>
      <c r="B6" s="364"/>
      <c r="C6" s="365"/>
      <c r="D6" s="17"/>
      <c r="E6" s="28" t="s">
        <v>241</v>
      </c>
    </row>
    <row r="7" spans="1:17" ht="26.4" customHeight="1">
      <c r="A7" s="363" t="s">
        <v>242</v>
      </c>
      <c r="B7" s="364"/>
      <c r="C7" s="365"/>
      <c r="D7" s="17" t="str">
        <f>IF(D6="","",EDATE(D6,6)-1)</f>
        <v/>
      </c>
    </row>
    <row r="8" spans="1:17" ht="40.799999999999997" customHeight="1">
      <c r="A8" s="366" t="s">
        <v>243</v>
      </c>
      <c r="B8" s="361"/>
      <c r="C8" s="362" t="s">
        <v>244</v>
      </c>
      <c r="D8" s="361"/>
      <c r="E8" s="361"/>
      <c r="F8" s="361"/>
      <c r="G8" s="361"/>
      <c r="H8" s="361"/>
      <c r="I8" s="361"/>
      <c r="J8" s="361"/>
      <c r="K8" s="361"/>
      <c r="L8" s="361"/>
      <c r="M8" s="361"/>
      <c r="N8" s="361"/>
      <c r="O8" s="361"/>
      <c r="P8" s="361"/>
      <c r="Q8" s="361"/>
    </row>
    <row r="9" spans="1:17" ht="36" customHeight="1">
      <c r="A9" s="366" t="s">
        <v>245</v>
      </c>
      <c r="B9" s="361"/>
      <c r="C9" s="362" t="s">
        <v>246</v>
      </c>
      <c r="D9" s="361"/>
      <c r="E9" s="361"/>
      <c r="F9" s="361"/>
      <c r="G9" s="361"/>
      <c r="H9" s="361"/>
      <c r="I9" s="361"/>
      <c r="J9" s="361"/>
      <c r="K9" s="361"/>
      <c r="L9" s="361"/>
      <c r="M9" s="361"/>
      <c r="N9" s="361"/>
      <c r="O9" s="361"/>
      <c r="P9" s="361"/>
      <c r="Q9" s="361"/>
    </row>
    <row r="11" spans="1:17" ht="19.95" customHeight="1">
      <c r="D11" s="371" t="s">
        <v>247</v>
      </c>
      <c r="E11" s="199"/>
      <c r="F11" s="199"/>
      <c r="G11" s="199"/>
      <c r="H11" s="199"/>
      <c r="I11" s="18" t="str">
        <f>IF($D$6="","",EDATE($D$6,0))</f>
        <v/>
      </c>
      <c r="J11" s="18" t="str">
        <f>IF($D$6="","",EDATE($D$6,1))</f>
        <v/>
      </c>
      <c r="K11" s="18" t="str">
        <f>IF($D$6="","",EDATE($D$6,2))</f>
        <v/>
      </c>
      <c r="L11" s="18" t="str">
        <f>IF($D$6="","",EDATE($D$6,3))</f>
        <v/>
      </c>
      <c r="M11" s="18" t="str">
        <f>IF($D$6="","",EDATE($D$6,4))</f>
        <v/>
      </c>
      <c r="N11" s="18" t="str">
        <f>IF($D$6="","",EDATE($D$6,5))</f>
        <v/>
      </c>
    </row>
    <row r="12" spans="1:17" ht="69" customHeight="1">
      <c r="A12" s="19" t="s">
        <v>248</v>
      </c>
      <c r="B12" s="19" t="s">
        <v>249</v>
      </c>
      <c r="C12" s="19" t="s">
        <v>250</v>
      </c>
      <c r="D12" s="19" t="s">
        <v>251</v>
      </c>
      <c r="E12" s="19" t="s">
        <v>252</v>
      </c>
      <c r="F12" s="19" t="s">
        <v>253</v>
      </c>
      <c r="G12" s="19" t="s">
        <v>254</v>
      </c>
      <c r="H12" s="19" t="s">
        <v>255</v>
      </c>
      <c r="I12" s="19" t="s">
        <v>104</v>
      </c>
      <c r="J12" s="19" t="s">
        <v>105</v>
      </c>
      <c r="K12" s="19" t="s">
        <v>256</v>
      </c>
      <c r="L12" s="19" t="s">
        <v>257</v>
      </c>
      <c r="M12" s="19" t="s">
        <v>258</v>
      </c>
      <c r="N12" s="19" t="s">
        <v>259</v>
      </c>
      <c r="O12" s="19" t="s">
        <v>260</v>
      </c>
      <c r="P12" s="19" t="s">
        <v>261</v>
      </c>
      <c r="Q12" s="19" t="s">
        <v>262</v>
      </c>
    </row>
    <row r="13" spans="1:17" ht="100.05" customHeight="1">
      <c r="A13" s="20" t="s">
        <v>263</v>
      </c>
      <c r="B13" s="368" t="s">
        <v>264</v>
      </c>
      <c r="C13" s="21" t="s">
        <v>265</v>
      </c>
      <c r="D13" s="22" t="s">
        <v>266</v>
      </c>
      <c r="E13" s="23" t="s">
        <v>267</v>
      </c>
      <c r="F13" s="20" t="s">
        <v>268</v>
      </c>
      <c r="G13" s="23" t="s">
        <v>269</v>
      </c>
      <c r="H13" s="22" t="s">
        <v>270</v>
      </c>
      <c r="I13" s="20" t="s">
        <v>271</v>
      </c>
      <c r="J13" s="20"/>
      <c r="K13" s="20"/>
      <c r="L13" s="20"/>
      <c r="M13" s="20"/>
      <c r="N13" s="20"/>
      <c r="O13" s="20"/>
      <c r="P13" s="24"/>
      <c r="Q13" s="20"/>
    </row>
    <row r="14" spans="1:17" ht="100.05" customHeight="1">
      <c r="A14" s="20" t="s">
        <v>272</v>
      </c>
      <c r="B14" s="361"/>
      <c r="C14" s="21" t="s">
        <v>273</v>
      </c>
      <c r="D14" s="22" t="s">
        <v>274</v>
      </c>
      <c r="E14" s="23" t="s">
        <v>275</v>
      </c>
      <c r="F14" s="20" t="s">
        <v>276</v>
      </c>
      <c r="G14" s="23" t="s">
        <v>277</v>
      </c>
      <c r="H14" s="22" t="s">
        <v>278</v>
      </c>
      <c r="I14" s="20" t="s">
        <v>271</v>
      </c>
      <c r="J14" s="20"/>
      <c r="K14" s="20"/>
      <c r="L14" s="20"/>
      <c r="M14" s="20"/>
      <c r="N14" s="20"/>
      <c r="O14" s="20"/>
      <c r="P14" s="24"/>
      <c r="Q14" s="20"/>
    </row>
    <row r="15" spans="1:17" ht="205.05" customHeight="1">
      <c r="A15" s="20" t="s">
        <v>279</v>
      </c>
      <c r="B15" s="361"/>
      <c r="C15" s="21" t="s">
        <v>280</v>
      </c>
      <c r="D15" s="22" t="s">
        <v>281</v>
      </c>
      <c r="E15" s="23" t="s">
        <v>282</v>
      </c>
      <c r="F15" s="20" t="s">
        <v>283</v>
      </c>
      <c r="G15" s="23" t="s">
        <v>284</v>
      </c>
      <c r="H15" s="22" t="s">
        <v>285</v>
      </c>
      <c r="I15" s="20" t="s">
        <v>271</v>
      </c>
      <c r="J15" s="20" t="s">
        <v>271</v>
      </c>
      <c r="K15" s="20"/>
      <c r="L15" s="20"/>
      <c r="M15" s="20"/>
      <c r="N15" s="20"/>
      <c r="O15" s="20"/>
      <c r="P15" s="24"/>
      <c r="Q15" s="20"/>
    </row>
    <row r="16" spans="1:17" ht="160.05000000000001" customHeight="1">
      <c r="A16" s="20" t="s">
        <v>286</v>
      </c>
      <c r="B16" s="361"/>
      <c r="C16" s="21" t="s">
        <v>287</v>
      </c>
      <c r="D16" s="22" t="s">
        <v>288</v>
      </c>
      <c r="E16" s="23" t="s">
        <v>289</v>
      </c>
      <c r="F16" s="20" t="s">
        <v>290</v>
      </c>
      <c r="G16" s="23" t="s">
        <v>291</v>
      </c>
      <c r="H16" s="22" t="s">
        <v>292</v>
      </c>
      <c r="I16" s="20"/>
      <c r="J16" s="20" t="s">
        <v>271</v>
      </c>
      <c r="K16" s="20"/>
      <c r="L16" s="20"/>
      <c r="M16" s="20"/>
      <c r="N16" s="20"/>
      <c r="O16" s="20"/>
      <c r="P16" s="24"/>
      <c r="Q16" s="20"/>
    </row>
    <row r="17" spans="1:17" ht="175.05" customHeight="1">
      <c r="A17" s="20" t="s">
        <v>293</v>
      </c>
      <c r="B17" s="361"/>
      <c r="C17" s="21" t="s">
        <v>294</v>
      </c>
      <c r="D17" s="22" t="s">
        <v>295</v>
      </c>
      <c r="E17" s="23" t="s">
        <v>289</v>
      </c>
      <c r="F17" s="20" t="s">
        <v>283</v>
      </c>
      <c r="G17" s="23" t="s">
        <v>296</v>
      </c>
      <c r="H17" s="22" t="s">
        <v>297</v>
      </c>
      <c r="I17" s="20"/>
      <c r="J17" s="20" t="s">
        <v>271</v>
      </c>
      <c r="K17" s="20" t="s">
        <v>271</v>
      </c>
      <c r="L17" s="20"/>
      <c r="M17" s="20"/>
      <c r="N17" s="20"/>
      <c r="O17" s="20"/>
      <c r="P17" s="24"/>
      <c r="Q17" s="20"/>
    </row>
    <row r="18" spans="1:17" ht="175.05" customHeight="1">
      <c r="A18" s="20" t="s">
        <v>298</v>
      </c>
      <c r="B18" s="361"/>
      <c r="C18" s="21" t="s">
        <v>299</v>
      </c>
      <c r="D18" s="22" t="s">
        <v>300</v>
      </c>
      <c r="E18" s="23" t="s">
        <v>301</v>
      </c>
      <c r="F18" s="20" t="s">
        <v>302</v>
      </c>
      <c r="G18" s="23" t="s">
        <v>303</v>
      </c>
      <c r="H18" s="22" t="s">
        <v>304</v>
      </c>
      <c r="I18" s="20" t="s">
        <v>271</v>
      </c>
      <c r="J18" s="20" t="s">
        <v>271</v>
      </c>
      <c r="K18" s="20"/>
      <c r="L18" s="20"/>
      <c r="M18" s="20"/>
      <c r="N18" s="20"/>
      <c r="O18" s="20"/>
      <c r="P18" s="24"/>
      <c r="Q18" s="20"/>
    </row>
    <row r="19" spans="1:17" ht="145.05000000000001" customHeight="1">
      <c r="A19" s="20" t="s">
        <v>305</v>
      </c>
      <c r="B19" s="368" t="s">
        <v>306</v>
      </c>
      <c r="C19" s="21" t="s">
        <v>307</v>
      </c>
      <c r="D19" s="22" t="s">
        <v>308</v>
      </c>
      <c r="E19" s="23" t="s">
        <v>267</v>
      </c>
      <c r="F19" s="20" t="s">
        <v>309</v>
      </c>
      <c r="G19" s="23" t="s">
        <v>310</v>
      </c>
      <c r="H19" s="22" t="s">
        <v>311</v>
      </c>
      <c r="I19" s="20"/>
      <c r="J19" s="20"/>
      <c r="K19" s="20" t="s">
        <v>271</v>
      </c>
      <c r="L19" s="20"/>
      <c r="M19" s="20"/>
      <c r="N19" s="20"/>
      <c r="O19" s="20"/>
      <c r="P19" s="24"/>
      <c r="Q19" s="20"/>
    </row>
    <row r="20" spans="1:17" ht="145.05000000000001" customHeight="1">
      <c r="A20" s="20" t="s">
        <v>312</v>
      </c>
      <c r="B20" s="361"/>
      <c r="C20" s="21" t="s">
        <v>313</v>
      </c>
      <c r="D20" s="22" t="s">
        <v>314</v>
      </c>
      <c r="E20" s="23" t="s">
        <v>267</v>
      </c>
      <c r="F20" s="20" t="s">
        <v>315</v>
      </c>
      <c r="G20" s="23" t="s">
        <v>316</v>
      </c>
      <c r="H20" s="22" t="s">
        <v>317</v>
      </c>
      <c r="I20" s="20"/>
      <c r="J20" s="20"/>
      <c r="K20" s="20" t="s">
        <v>271</v>
      </c>
      <c r="L20" s="20"/>
      <c r="M20" s="20"/>
      <c r="N20" s="20"/>
      <c r="O20" s="20"/>
      <c r="P20" s="24"/>
      <c r="Q20" s="20"/>
    </row>
    <row r="21" spans="1:17" ht="100.05" customHeight="1">
      <c r="A21" s="20" t="s">
        <v>318</v>
      </c>
      <c r="B21" s="361"/>
      <c r="C21" s="21" t="s">
        <v>319</v>
      </c>
      <c r="D21" s="22" t="s">
        <v>320</v>
      </c>
      <c r="E21" s="23" t="s">
        <v>321</v>
      </c>
      <c r="F21" s="20" t="s">
        <v>322</v>
      </c>
      <c r="G21" s="23" t="s">
        <v>323</v>
      </c>
      <c r="H21" s="22" t="s">
        <v>324</v>
      </c>
      <c r="I21" s="20"/>
      <c r="J21" s="20"/>
      <c r="K21" s="20" t="s">
        <v>271</v>
      </c>
      <c r="L21" s="20"/>
      <c r="M21" s="20"/>
      <c r="N21" s="20"/>
      <c r="O21" s="20"/>
      <c r="P21" s="24"/>
      <c r="Q21" s="20"/>
    </row>
    <row r="22" spans="1:17" ht="130.05000000000001" customHeight="1">
      <c r="A22" s="20" t="s">
        <v>325</v>
      </c>
      <c r="B22" s="361"/>
      <c r="C22" s="21" t="s">
        <v>326</v>
      </c>
      <c r="D22" s="22" t="s">
        <v>327</v>
      </c>
      <c r="E22" s="23" t="s">
        <v>328</v>
      </c>
      <c r="F22" s="20" t="s">
        <v>329</v>
      </c>
      <c r="G22" s="23" t="s">
        <v>323</v>
      </c>
      <c r="H22" s="22" t="s">
        <v>330</v>
      </c>
      <c r="I22" s="20" t="s">
        <v>271</v>
      </c>
      <c r="J22" s="20" t="s">
        <v>271</v>
      </c>
      <c r="K22" s="20" t="s">
        <v>271</v>
      </c>
      <c r="L22" s="20" t="s">
        <v>271</v>
      </c>
      <c r="M22" s="20" t="s">
        <v>271</v>
      </c>
      <c r="N22" s="20" t="s">
        <v>271</v>
      </c>
      <c r="O22" s="20"/>
      <c r="P22" s="24"/>
      <c r="Q22" s="20"/>
    </row>
    <row r="23" spans="1:17" ht="115.05" customHeight="1">
      <c r="A23" s="20" t="s">
        <v>331</v>
      </c>
      <c r="B23" s="361"/>
      <c r="C23" s="21" t="s">
        <v>332</v>
      </c>
      <c r="D23" s="22" t="s">
        <v>333</v>
      </c>
      <c r="E23" s="23" t="s">
        <v>301</v>
      </c>
      <c r="F23" s="20" t="s">
        <v>334</v>
      </c>
      <c r="G23" s="23" t="s">
        <v>335</v>
      </c>
      <c r="H23" s="22" t="s">
        <v>336</v>
      </c>
      <c r="I23" s="20" t="s">
        <v>271</v>
      </c>
      <c r="J23" s="20" t="s">
        <v>271</v>
      </c>
      <c r="K23" s="20" t="s">
        <v>271</v>
      </c>
      <c r="L23" s="20"/>
      <c r="M23" s="20"/>
      <c r="N23" s="20"/>
      <c r="O23" s="20"/>
      <c r="P23" s="24"/>
      <c r="Q23" s="20"/>
    </row>
    <row r="24" spans="1:17" ht="115.05" customHeight="1">
      <c r="A24" s="20" t="s">
        <v>337</v>
      </c>
      <c r="B24" s="368" t="s">
        <v>338</v>
      </c>
      <c r="C24" s="21" t="s">
        <v>339</v>
      </c>
      <c r="D24" s="22" t="s">
        <v>340</v>
      </c>
      <c r="E24" s="23" t="s">
        <v>341</v>
      </c>
      <c r="F24" s="20" t="s">
        <v>342</v>
      </c>
      <c r="G24" s="23" t="s">
        <v>343</v>
      </c>
      <c r="H24" s="22" t="s">
        <v>344</v>
      </c>
      <c r="I24" s="20"/>
      <c r="J24" s="20"/>
      <c r="K24" s="20" t="s">
        <v>271</v>
      </c>
      <c r="L24" s="20" t="s">
        <v>271</v>
      </c>
      <c r="M24" s="20"/>
      <c r="N24" s="20"/>
      <c r="O24" s="20"/>
      <c r="P24" s="24"/>
      <c r="Q24" s="20"/>
    </row>
    <row r="25" spans="1:17" ht="115.05" customHeight="1">
      <c r="A25" s="20" t="s">
        <v>345</v>
      </c>
      <c r="B25" s="361"/>
      <c r="C25" s="21" t="s">
        <v>346</v>
      </c>
      <c r="D25" s="22" t="s">
        <v>347</v>
      </c>
      <c r="E25" s="23" t="s">
        <v>348</v>
      </c>
      <c r="F25" s="20" t="s">
        <v>349</v>
      </c>
      <c r="G25" s="23" t="s">
        <v>350</v>
      </c>
      <c r="H25" s="22" t="s">
        <v>351</v>
      </c>
      <c r="I25" s="20"/>
      <c r="J25" s="20"/>
      <c r="K25" s="20"/>
      <c r="L25" s="20" t="s">
        <v>271</v>
      </c>
      <c r="M25" s="20" t="s">
        <v>271</v>
      </c>
      <c r="N25" s="20"/>
      <c r="O25" s="20"/>
      <c r="P25" s="24"/>
      <c r="Q25" s="20"/>
    </row>
    <row r="26" spans="1:17" ht="145.05000000000001" customHeight="1">
      <c r="A26" s="20" t="s">
        <v>352</v>
      </c>
      <c r="B26" s="361"/>
      <c r="C26" s="21" t="s">
        <v>353</v>
      </c>
      <c r="D26" s="22" t="s">
        <v>354</v>
      </c>
      <c r="E26" s="23" t="s">
        <v>355</v>
      </c>
      <c r="F26" s="20" t="s">
        <v>356</v>
      </c>
      <c r="G26" s="23" t="s">
        <v>357</v>
      </c>
      <c r="H26" s="22" t="s">
        <v>358</v>
      </c>
      <c r="I26" s="20"/>
      <c r="J26" s="20"/>
      <c r="K26" s="20"/>
      <c r="L26" s="20" t="s">
        <v>271</v>
      </c>
      <c r="M26" s="20" t="s">
        <v>271</v>
      </c>
      <c r="N26" s="20" t="s">
        <v>271</v>
      </c>
      <c r="O26" s="20"/>
      <c r="P26" s="24"/>
      <c r="Q26" s="20"/>
    </row>
    <row r="27" spans="1:17" ht="85.05" customHeight="1">
      <c r="A27" s="20" t="s">
        <v>359</v>
      </c>
      <c r="B27" s="368" t="s">
        <v>360</v>
      </c>
      <c r="C27" s="21" t="s">
        <v>361</v>
      </c>
      <c r="D27" s="22" t="s">
        <v>362</v>
      </c>
      <c r="E27" s="23" t="s">
        <v>363</v>
      </c>
      <c r="F27" s="20" t="s">
        <v>364</v>
      </c>
      <c r="G27" s="23" t="s">
        <v>365</v>
      </c>
      <c r="H27" s="22" t="s">
        <v>366</v>
      </c>
      <c r="I27" s="20"/>
      <c r="J27" s="20"/>
      <c r="K27" s="20"/>
      <c r="L27" s="20"/>
      <c r="M27" s="20" t="s">
        <v>271</v>
      </c>
      <c r="N27" s="20" t="s">
        <v>271</v>
      </c>
      <c r="O27" s="20"/>
      <c r="P27" s="24"/>
      <c r="Q27" s="20"/>
    </row>
    <row r="28" spans="1:17" ht="115.05" customHeight="1">
      <c r="A28" s="20" t="s">
        <v>367</v>
      </c>
      <c r="B28" s="361"/>
      <c r="C28" s="21" t="s">
        <v>368</v>
      </c>
      <c r="D28" s="22" t="s">
        <v>369</v>
      </c>
      <c r="E28" s="23" t="s">
        <v>370</v>
      </c>
      <c r="F28" s="20" t="s">
        <v>364</v>
      </c>
      <c r="G28" s="23" t="s">
        <v>371</v>
      </c>
      <c r="H28" s="22" t="s">
        <v>372</v>
      </c>
      <c r="I28" s="20"/>
      <c r="J28" s="20"/>
      <c r="K28" s="20"/>
      <c r="L28" s="20"/>
      <c r="M28" s="20"/>
      <c r="N28" s="20" t="s">
        <v>271</v>
      </c>
      <c r="O28" s="20"/>
      <c r="P28" s="24"/>
      <c r="Q28" s="20"/>
    </row>
    <row r="29" spans="1:17" ht="115.05" customHeight="1">
      <c r="A29" s="20" t="s">
        <v>373</v>
      </c>
      <c r="B29" s="361"/>
      <c r="C29" s="21" t="s">
        <v>374</v>
      </c>
      <c r="D29" s="22" t="s">
        <v>375</v>
      </c>
      <c r="E29" s="23" t="s">
        <v>376</v>
      </c>
      <c r="F29" s="20" t="s">
        <v>364</v>
      </c>
      <c r="G29" s="23" t="s">
        <v>377</v>
      </c>
      <c r="H29" s="22" t="s">
        <v>378</v>
      </c>
      <c r="I29" s="20"/>
      <c r="J29" s="20"/>
      <c r="K29" s="20"/>
      <c r="L29" s="20"/>
      <c r="M29" s="20"/>
      <c r="N29" s="20"/>
      <c r="O29" s="20"/>
      <c r="P29" s="24"/>
      <c r="Q29" s="20"/>
    </row>
    <row r="30" spans="1:17" ht="24" customHeight="1">
      <c r="A30" s="366" t="s">
        <v>379</v>
      </c>
      <c r="B30" s="361"/>
      <c r="C30" s="361"/>
      <c r="D30" s="361"/>
      <c r="E30" s="361"/>
      <c r="F30" s="361"/>
      <c r="G30" s="361"/>
      <c r="H30" s="361"/>
      <c r="I30" s="367">
        <f>IFERROR(COUNTIF(Q13:Q29,"O")/COUNTA(C13:C29),0)</f>
        <v>0</v>
      </c>
      <c r="J30" s="361"/>
      <c r="K30" s="361"/>
      <c r="L30" s="361"/>
      <c r="M30" s="361"/>
      <c r="N30" s="361"/>
      <c r="O30" s="15"/>
      <c r="P30" s="15"/>
      <c r="Q30" s="15"/>
    </row>
    <row r="32" spans="1:17">
      <c r="A32" s="25" t="s">
        <v>99</v>
      </c>
      <c r="C32" s="26" t="s">
        <v>380</v>
      </c>
    </row>
    <row r="33" spans="1:17">
      <c r="C33" s="26" t="s">
        <v>381</v>
      </c>
    </row>
    <row r="34" spans="1:17">
      <c r="C34" s="26" t="s">
        <v>382</v>
      </c>
    </row>
    <row r="35" spans="1:17">
      <c r="C35" s="26" t="s">
        <v>383</v>
      </c>
    </row>
    <row r="37" spans="1:17">
      <c r="A37" s="27" t="s">
        <v>384</v>
      </c>
    </row>
    <row r="38" spans="1:17" ht="36" customHeight="1">
      <c r="A38" s="19" t="s">
        <v>385</v>
      </c>
      <c r="B38" s="369" t="s">
        <v>386</v>
      </c>
      <c r="C38" s="361"/>
      <c r="D38" s="19" t="s">
        <v>387</v>
      </c>
      <c r="E38" s="369" t="s">
        <v>388</v>
      </c>
      <c r="F38" s="361"/>
      <c r="G38" s="369" t="s">
        <v>389</v>
      </c>
      <c r="H38" s="361"/>
      <c r="I38" s="369" t="s">
        <v>390</v>
      </c>
      <c r="J38" s="361"/>
      <c r="K38" s="361"/>
      <c r="L38" s="361"/>
      <c r="M38" s="361"/>
      <c r="N38" s="361"/>
    </row>
    <row r="39" spans="1:17" ht="34.049999999999997" customHeight="1">
      <c r="A39" s="20">
        <v>1</v>
      </c>
      <c r="B39" s="362" t="s">
        <v>391</v>
      </c>
      <c r="C39" s="361"/>
      <c r="D39" s="20" t="s">
        <v>392</v>
      </c>
      <c r="E39" s="360">
        <v>2</v>
      </c>
      <c r="F39" s="361"/>
      <c r="G39" s="362" t="s">
        <v>393</v>
      </c>
      <c r="H39" s="361"/>
      <c r="I39" s="360">
        <f>SUMPRODUCT(--ISNUMBER(SEARCH(", 1,",", "&amp;$F$13:$F$29&amp;",")))</f>
        <v>8</v>
      </c>
      <c r="J39" s="361"/>
      <c r="K39" s="361"/>
      <c r="L39" s="361"/>
      <c r="M39" s="361"/>
      <c r="N39" s="361"/>
    </row>
    <row r="40" spans="1:17" ht="34.049999999999997" customHeight="1">
      <c r="A40" s="20">
        <v>2</v>
      </c>
      <c r="B40" s="362" t="s">
        <v>394</v>
      </c>
      <c r="C40" s="361"/>
      <c r="D40" s="20" t="s">
        <v>395</v>
      </c>
      <c r="E40" s="360">
        <v>2</v>
      </c>
      <c r="F40" s="361"/>
      <c r="G40" s="362" t="s">
        <v>396</v>
      </c>
      <c r="H40" s="361"/>
      <c r="I40" s="360">
        <f>SUMPRODUCT(--ISNUMBER(SEARCH(", 2,",", "&amp;$F$13:$F$29&amp;",")))</f>
        <v>8</v>
      </c>
      <c r="J40" s="361"/>
      <c r="K40" s="361"/>
      <c r="L40" s="361"/>
      <c r="M40" s="361"/>
      <c r="N40" s="361"/>
    </row>
    <row r="41" spans="1:17" ht="34.049999999999997" customHeight="1">
      <c r="A41" s="20">
        <v>3</v>
      </c>
      <c r="B41" s="362" t="s">
        <v>397</v>
      </c>
      <c r="C41" s="361"/>
      <c r="D41" s="20" t="s">
        <v>392</v>
      </c>
      <c r="E41" s="360">
        <v>3</v>
      </c>
      <c r="F41" s="361"/>
      <c r="G41" s="362" t="s">
        <v>398</v>
      </c>
      <c r="H41" s="361"/>
      <c r="I41" s="360">
        <f>SUMPRODUCT(--ISNUMBER(SEARCH(", 3,",", "&amp;$F$13:$F$29&amp;",")))</f>
        <v>8</v>
      </c>
      <c r="J41" s="361"/>
      <c r="K41" s="361"/>
      <c r="L41" s="361"/>
      <c r="M41" s="361"/>
      <c r="N41" s="361"/>
    </row>
    <row r="42" spans="1:17" ht="34.049999999999997" customHeight="1">
      <c r="A42" s="20">
        <v>4</v>
      </c>
      <c r="B42" s="362" t="s">
        <v>399</v>
      </c>
      <c r="C42" s="361"/>
      <c r="D42" s="20" t="s">
        <v>392</v>
      </c>
      <c r="E42" s="360">
        <v>3</v>
      </c>
      <c r="F42" s="361"/>
      <c r="G42" s="362" t="s">
        <v>400</v>
      </c>
      <c r="H42" s="361"/>
      <c r="I42" s="360">
        <f>SUMPRODUCT(--ISNUMBER(SEARCH(", 4,",", "&amp;$F$13:$F$29&amp;",")))</f>
        <v>8</v>
      </c>
      <c r="J42" s="361"/>
      <c r="K42" s="361"/>
      <c r="L42" s="361"/>
      <c r="M42" s="361"/>
      <c r="N42" s="361"/>
    </row>
    <row r="43" spans="1:17" ht="34.049999999999997" customHeight="1">
      <c r="A43" s="20">
        <v>5</v>
      </c>
      <c r="B43" s="362" t="s">
        <v>401</v>
      </c>
      <c r="C43" s="361"/>
      <c r="D43" s="20" t="s">
        <v>402</v>
      </c>
      <c r="E43" s="360">
        <v>2</v>
      </c>
      <c r="F43" s="361"/>
      <c r="G43" s="362" t="s">
        <v>403</v>
      </c>
      <c r="H43" s="361"/>
      <c r="I43" s="360">
        <f>SUMPRODUCT(--ISNUMBER(SEARCH(", 5,",", "&amp;$F$13:$F$29&amp;",")))</f>
        <v>4</v>
      </c>
      <c r="J43" s="361"/>
      <c r="K43" s="361"/>
      <c r="L43" s="361"/>
      <c r="M43" s="361"/>
      <c r="N43" s="361"/>
    </row>
    <row r="44" spans="1:17" ht="34.049999999999997" customHeight="1">
      <c r="A44" s="20">
        <v>6</v>
      </c>
      <c r="B44" s="362" t="s">
        <v>404</v>
      </c>
      <c r="C44" s="361"/>
      <c r="D44" s="20" t="s">
        <v>392</v>
      </c>
      <c r="E44" s="360">
        <v>4</v>
      </c>
      <c r="F44" s="361"/>
      <c r="G44" s="362" t="s">
        <v>405</v>
      </c>
      <c r="H44" s="361"/>
      <c r="I44" s="360">
        <f>SUMPRODUCT(--ISNUMBER(SEARCH(", 6,",", "&amp;$F$13:$F$29&amp;",")))</f>
        <v>7</v>
      </c>
      <c r="J44" s="361"/>
      <c r="K44" s="361"/>
      <c r="L44" s="361"/>
      <c r="M44" s="361"/>
      <c r="N44" s="361"/>
    </row>
    <row r="45" spans="1:17" ht="34.049999999999997" customHeight="1">
      <c r="A45" s="20">
        <v>7</v>
      </c>
      <c r="B45" s="362" t="s">
        <v>406</v>
      </c>
      <c r="C45" s="361"/>
      <c r="D45" s="20" t="s">
        <v>392</v>
      </c>
      <c r="E45" s="360">
        <v>2</v>
      </c>
      <c r="F45" s="361"/>
      <c r="G45" s="362" t="s">
        <v>407</v>
      </c>
      <c r="H45" s="361"/>
      <c r="I45" s="360">
        <f>SUMPRODUCT(--ISNUMBER(SEARCH(", 7,",", "&amp;$F$13:$F$29&amp;",")))</f>
        <v>8</v>
      </c>
      <c r="J45" s="361"/>
      <c r="K45" s="361"/>
      <c r="L45" s="361"/>
      <c r="M45" s="361"/>
      <c r="N45" s="361"/>
    </row>
    <row r="46" spans="1:17">
      <c r="A46" s="26" t="s">
        <v>408</v>
      </c>
    </row>
    <row r="48" spans="1:17" ht="36" customHeight="1">
      <c r="C48" s="19" t="s">
        <v>409</v>
      </c>
      <c r="D48" s="369" t="s">
        <v>410</v>
      </c>
      <c r="E48" s="361"/>
      <c r="F48" s="361"/>
      <c r="G48" s="369" t="s">
        <v>411</v>
      </c>
      <c r="H48" s="361"/>
      <c r="I48" s="369" t="s">
        <v>412</v>
      </c>
      <c r="J48" s="361"/>
      <c r="K48" s="361"/>
      <c r="L48" s="361"/>
      <c r="M48" s="361"/>
      <c r="N48" s="361"/>
      <c r="O48" s="361"/>
      <c r="P48" s="361"/>
      <c r="Q48" s="361"/>
    </row>
    <row r="49" spans="3:17" ht="55.05" customHeight="1">
      <c r="C49" s="20"/>
      <c r="D49" s="360"/>
      <c r="E49" s="361"/>
      <c r="F49" s="361"/>
      <c r="G49" s="360"/>
      <c r="H49" s="361"/>
      <c r="I49" s="360"/>
      <c r="J49" s="361"/>
      <c r="K49" s="361"/>
      <c r="L49" s="361"/>
      <c r="M49" s="361"/>
      <c r="N49" s="361"/>
      <c r="O49" s="361"/>
      <c r="P49" s="361"/>
      <c r="Q49" s="361"/>
    </row>
  </sheetData>
  <mergeCells count="55">
    <mergeCell ref="A1:Q1"/>
    <mergeCell ref="G39:H39"/>
    <mergeCell ref="B43:C43"/>
    <mergeCell ref="B39:C39"/>
    <mergeCell ref="E38:F38"/>
    <mergeCell ref="G38:H38"/>
    <mergeCell ref="I42:N42"/>
    <mergeCell ref="D11:H11"/>
    <mergeCell ref="B42:C42"/>
    <mergeCell ref="I39:N39"/>
    <mergeCell ref="C8:Q8"/>
    <mergeCell ref="E40:F40"/>
    <mergeCell ref="B19:B23"/>
    <mergeCell ref="B24:B26"/>
    <mergeCell ref="G40:H40"/>
    <mergeCell ref="C9:Q9"/>
    <mergeCell ref="D48:F48"/>
    <mergeCell ref="I43:N43"/>
    <mergeCell ref="E39:F39"/>
    <mergeCell ref="E44:F44"/>
    <mergeCell ref="G48:H48"/>
    <mergeCell ref="I48:Q48"/>
    <mergeCell ref="I44:N44"/>
    <mergeCell ref="D49:F49"/>
    <mergeCell ref="I40:N40"/>
    <mergeCell ref="E45:F45"/>
    <mergeCell ref="G45:H45"/>
    <mergeCell ref="B40:C40"/>
    <mergeCell ref="E43:F43"/>
    <mergeCell ref="G43:H43"/>
    <mergeCell ref="I41:N41"/>
    <mergeCell ref="G42:H42"/>
    <mergeCell ref="E42:F42"/>
    <mergeCell ref="I49:Q49"/>
    <mergeCell ref="E41:F41"/>
    <mergeCell ref="G41:H41"/>
    <mergeCell ref="B45:C45"/>
    <mergeCell ref="G49:H49"/>
    <mergeCell ref="B44:C44"/>
    <mergeCell ref="I45:N45"/>
    <mergeCell ref="G44:H44"/>
    <mergeCell ref="A3:C3"/>
    <mergeCell ref="A4:C4"/>
    <mergeCell ref="A5:C5"/>
    <mergeCell ref="A6:C6"/>
    <mergeCell ref="A7:C7"/>
    <mergeCell ref="A9:B9"/>
    <mergeCell ref="A30:H30"/>
    <mergeCell ref="A8:B8"/>
    <mergeCell ref="I30:N30"/>
    <mergeCell ref="B27:B29"/>
    <mergeCell ref="B38:C38"/>
    <mergeCell ref="B13:B18"/>
    <mergeCell ref="B41:C41"/>
    <mergeCell ref="I38:N38"/>
  </mergeCells>
  <dataValidations count="2">
    <dataValidation type="list" allowBlank="1" sqref="Q13:Q29" xr:uid="{00000000-0002-0000-0700-000000000000}">
      <formula1>"O,X,Δ"</formula1>
    </dataValidation>
    <dataValidation type="list" allowBlank="1" sqref="I13:N29" xr:uid="{00000000-0002-0000-0700-000001000000}">
      <formula1>"■"</formula1>
    </dataValidation>
  </dataValidations>
  <pageMargins left="0.4" right="0.4" top="0.5" bottom="0.5" header="0.511811023622047" footer="0.511811023622047"/>
  <pageSetup paperSize="9" fitToHeight="0" orientation="landscape"/>
  <headerFooter>
    <oddFooter>&amp;LQLGCN-06</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46D3A-A1D7-472D-AB41-48ECF3EAA3AD}">
  <sheetPr>
    <pageSetUpPr fitToPage="1"/>
  </sheetPr>
  <dimension ref="A1:F21"/>
  <sheetViews>
    <sheetView showGridLines="0" zoomScale="85" zoomScaleNormal="85" workbookViewId="0">
      <pane ySplit="5" topLeftCell="A6" activePane="bottomLeft" state="frozen"/>
      <selection activeCell="A2" sqref="A2:I2"/>
      <selection pane="bottomLeft" activeCell="E10" sqref="E10"/>
    </sheetView>
  </sheetViews>
  <sheetFormatPr defaultColWidth="8.6640625" defaultRowHeight="14.4"/>
  <cols>
    <col min="1" max="1" width="7" customWidth="1"/>
    <col min="2" max="2" width="24" customWidth="1"/>
    <col min="3" max="3" width="76.77734375" customWidth="1"/>
    <col min="4" max="4" width="19.88671875" customWidth="1"/>
    <col min="5" max="5" width="22" customWidth="1"/>
  </cols>
  <sheetData>
    <row r="1" spans="1:6" ht="35.4" customHeight="1">
      <c r="A1" s="372" t="s">
        <v>413</v>
      </c>
      <c r="B1" s="372"/>
      <c r="C1" s="372"/>
      <c r="D1" s="372"/>
      <c r="E1" s="372"/>
    </row>
    <row r="2" spans="1:6" ht="15.6">
      <c r="A2" s="29"/>
      <c r="B2" s="29"/>
      <c r="C2" s="29"/>
      <c r="D2" s="29"/>
      <c r="E2" s="29"/>
    </row>
    <row r="3" spans="1:6" ht="58.2" customHeight="1">
      <c r="A3" s="373" t="s">
        <v>414</v>
      </c>
      <c r="B3" s="373"/>
      <c r="C3" s="373"/>
      <c r="D3" s="373"/>
      <c r="E3" s="373"/>
    </row>
    <row r="4" spans="1:6" ht="15.6">
      <c r="A4" s="29"/>
      <c r="B4" s="29"/>
      <c r="C4" s="29"/>
      <c r="D4" s="29"/>
      <c r="E4" s="29"/>
    </row>
    <row r="5" spans="1:6" ht="66.599999999999994" customHeight="1">
      <c r="A5" s="30" t="s">
        <v>248</v>
      </c>
      <c r="B5" s="30" t="s">
        <v>386</v>
      </c>
      <c r="C5" s="30" t="s">
        <v>415</v>
      </c>
      <c r="D5" s="31" t="s">
        <v>416</v>
      </c>
      <c r="E5" s="30" t="s">
        <v>78</v>
      </c>
    </row>
    <row r="6" spans="1:6" ht="62.4">
      <c r="A6" s="32">
        <v>1</v>
      </c>
      <c r="B6" s="33" t="s">
        <v>391</v>
      </c>
      <c r="C6" s="34" t="s">
        <v>417</v>
      </c>
      <c r="D6" s="35" t="s">
        <v>392</v>
      </c>
      <c r="E6" s="34"/>
    </row>
    <row r="7" spans="1:6" ht="78">
      <c r="A7" s="32">
        <v>2</v>
      </c>
      <c r="B7" s="33" t="s">
        <v>394</v>
      </c>
      <c r="C7" s="34" t="s">
        <v>418</v>
      </c>
      <c r="D7" s="32" t="s">
        <v>419</v>
      </c>
      <c r="E7" s="34" t="s">
        <v>420</v>
      </c>
      <c r="F7" s="36"/>
    </row>
    <row r="8" spans="1:6" ht="62.4">
      <c r="A8" s="32">
        <v>3</v>
      </c>
      <c r="B8" s="33" t="s">
        <v>397</v>
      </c>
      <c r="C8" s="34" t="s">
        <v>421</v>
      </c>
      <c r="D8" s="35" t="s">
        <v>392</v>
      </c>
      <c r="E8" s="34"/>
      <c r="F8" s="36"/>
    </row>
    <row r="9" spans="1:6" ht="62.4">
      <c r="A9" s="32">
        <v>4</v>
      </c>
      <c r="B9" s="33" t="s">
        <v>399</v>
      </c>
      <c r="C9" s="34" t="s">
        <v>422</v>
      </c>
      <c r="D9" s="35" t="s">
        <v>392</v>
      </c>
      <c r="E9" s="34"/>
      <c r="F9" s="36"/>
    </row>
    <row r="10" spans="1:6" ht="93.6">
      <c r="A10" s="32">
        <v>5</v>
      </c>
      <c r="B10" s="33" t="s">
        <v>401</v>
      </c>
      <c r="C10" s="34" t="s">
        <v>423</v>
      </c>
      <c r="D10" s="35" t="s">
        <v>419</v>
      </c>
      <c r="E10" s="34" t="s">
        <v>424</v>
      </c>
      <c r="F10" s="36"/>
    </row>
    <row r="11" spans="1:6" ht="62.4">
      <c r="A11" s="32">
        <v>6</v>
      </c>
      <c r="B11" s="33" t="s">
        <v>404</v>
      </c>
      <c r="C11" s="34" t="s">
        <v>425</v>
      </c>
      <c r="D11" s="32" t="s">
        <v>392</v>
      </c>
      <c r="E11" s="34"/>
      <c r="F11" s="36"/>
    </row>
    <row r="12" spans="1:6" ht="78">
      <c r="A12" s="32">
        <v>7</v>
      </c>
      <c r="B12" s="33" t="s">
        <v>406</v>
      </c>
      <c r="C12" s="34" t="s">
        <v>426</v>
      </c>
      <c r="D12" s="35" t="s">
        <v>392</v>
      </c>
      <c r="E12" s="34"/>
      <c r="F12" s="36"/>
    </row>
    <row r="13" spans="1:6" ht="15.6">
      <c r="A13" s="29"/>
      <c r="B13" s="29"/>
      <c r="C13" s="29"/>
      <c r="D13" s="29"/>
      <c r="E13" s="29"/>
    </row>
    <row r="14" spans="1:6" ht="15.6">
      <c r="A14" s="374" t="s">
        <v>427</v>
      </c>
      <c r="B14" s="374"/>
      <c r="C14" s="29"/>
      <c r="D14" s="29"/>
      <c r="E14" s="29"/>
    </row>
    <row r="15" spans="1:6" ht="15.6">
      <c r="A15" s="29"/>
      <c r="B15" s="29" t="s">
        <v>428</v>
      </c>
      <c r="C15" s="29"/>
      <c r="D15" s="29"/>
      <c r="E15" s="29"/>
    </row>
    <row r="16" spans="1:6" ht="15.6">
      <c r="A16" s="29"/>
      <c r="B16" s="29" t="s">
        <v>429</v>
      </c>
      <c r="C16" s="29"/>
      <c r="D16" s="29"/>
      <c r="E16" s="29"/>
    </row>
    <row r="17" spans="1:5" ht="15.6">
      <c r="A17" s="29"/>
      <c r="B17" s="29" t="s">
        <v>430</v>
      </c>
      <c r="C17" s="29"/>
      <c r="D17" s="29"/>
      <c r="E17" s="29"/>
    </row>
    <row r="18" spans="1:5" ht="15.6">
      <c r="C18" s="29"/>
      <c r="D18" s="29"/>
      <c r="E18" s="29"/>
    </row>
    <row r="19" spans="1:5" ht="36" customHeight="1">
      <c r="A19" s="374" t="s">
        <v>431</v>
      </c>
      <c r="B19" s="374"/>
      <c r="C19" s="37" t="s">
        <v>432</v>
      </c>
      <c r="D19" s="37"/>
      <c r="E19" s="37" t="s">
        <v>433</v>
      </c>
    </row>
    <row r="20" spans="1:5" ht="49.5" customHeight="1">
      <c r="A20" s="29"/>
      <c r="B20" s="29"/>
      <c r="C20" s="38"/>
      <c r="D20" s="38"/>
      <c r="E20" s="38"/>
    </row>
    <row r="21" spans="1:5" ht="21.75" customHeight="1">
      <c r="A21" s="29"/>
      <c r="B21" s="29"/>
      <c r="C21" s="34" t="s">
        <v>434</v>
      </c>
      <c r="D21" s="34"/>
      <c r="E21" s="34" t="s">
        <v>434</v>
      </c>
    </row>
  </sheetData>
  <mergeCells count="4">
    <mergeCell ref="A1:E1"/>
    <mergeCell ref="A3:E3"/>
    <mergeCell ref="A14:B14"/>
    <mergeCell ref="A19:B19"/>
  </mergeCells>
  <printOptions horizontalCentered="1"/>
  <pageMargins left="0.4" right="0.4" top="0.5" bottom="0.5" header="0.511811023622047" footer="0.511811023622047"/>
  <pageSetup paperSize="9" scale="62"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0B9DB-EFF3-4D97-840A-71F372EDA8DC}">
  <dimension ref="A1:I40"/>
  <sheetViews>
    <sheetView showGridLines="0" zoomScale="70" zoomScaleNormal="70" workbookViewId="0">
      <pane ySplit="8" topLeftCell="A9" activePane="bottomLeft" state="frozen"/>
      <selection activeCell="C10" sqref="C10"/>
      <selection pane="bottomLeft" activeCell="C10" sqref="C10"/>
    </sheetView>
  </sheetViews>
  <sheetFormatPr defaultColWidth="8.6640625" defaultRowHeight="14.4"/>
  <cols>
    <col min="1" max="1" width="7" customWidth="1"/>
    <col min="2" max="2" width="40" customWidth="1"/>
    <col min="3" max="5" width="13" customWidth="1"/>
    <col min="6" max="6" width="14" customWidth="1"/>
    <col min="7" max="7" width="24" customWidth="1"/>
    <col min="8" max="8" width="38" customWidth="1"/>
    <col min="9" max="9" width="14" customWidth="1"/>
  </cols>
  <sheetData>
    <row r="1" spans="1:9" ht="24" customHeight="1">
      <c r="A1" s="372" t="s">
        <v>435</v>
      </c>
      <c r="B1" s="372"/>
      <c r="C1" s="372"/>
      <c r="D1" s="372"/>
      <c r="E1" s="372"/>
      <c r="F1" s="372"/>
      <c r="G1" s="372"/>
      <c r="H1" s="372"/>
      <c r="I1" s="372"/>
    </row>
    <row r="2" spans="1:9" ht="24" customHeight="1">
      <c r="A2" s="372" t="s">
        <v>436</v>
      </c>
      <c r="B2" s="372"/>
      <c r="C2" s="372"/>
      <c r="D2" s="372"/>
      <c r="E2" s="372"/>
      <c r="F2" s="372"/>
      <c r="G2" s="372"/>
      <c r="H2" s="372"/>
      <c r="I2" s="372"/>
    </row>
    <row r="3" spans="1:9" ht="15.6">
      <c r="A3" s="29"/>
      <c r="B3" s="29"/>
      <c r="C3" s="29"/>
      <c r="D3" s="29"/>
      <c r="E3" s="29"/>
      <c r="F3" s="29"/>
      <c r="G3" s="29"/>
      <c r="H3" s="29"/>
      <c r="I3" s="29"/>
    </row>
    <row r="4" spans="1:9" ht="24" customHeight="1">
      <c r="A4" s="375" t="s">
        <v>437</v>
      </c>
      <c r="B4" s="375"/>
      <c r="C4" s="376"/>
      <c r="D4" s="376"/>
      <c r="E4" s="376"/>
      <c r="F4" s="375" t="s">
        <v>438</v>
      </c>
      <c r="G4" s="375"/>
      <c r="H4" s="376"/>
      <c r="I4" s="376"/>
    </row>
    <row r="5" spans="1:9" ht="24" customHeight="1">
      <c r="A5" s="375" t="s">
        <v>439</v>
      </c>
      <c r="B5" s="375"/>
      <c r="C5" s="376"/>
      <c r="D5" s="376"/>
      <c r="E5" s="376"/>
      <c r="F5" s="375" t="s">
        <v>440</v>
      </c>
      <c r="G5" s="375"/>
      <c r="H5" s="376"/>
      <c r="I5" s="376"/>
    </row>
    <row r="6" spans="1:9" ht="24" customHeight="1">
      <c r="A6" s="375" t="s">
        <v>441</v>
      </c>
      <c r="B6" s="375"/>
      <c r="C6" s="376"/>
      <c r="D6" s="376"/>
      <c r="E6" s="376"/>
      <c r="F6" s="375" t="s">
        <v>442</v>
      </c>
      <c r="G6" s="375"/>
      <c r="H6" s="376"/>
      <c r="I6" s="376"/>
    </row>
    <row r="7" spans="1:9" ht="15.6">
      <c r="A7" s="29"/>
      <c r="B7" s="29"/>
      <c r="C7" s="29"/>
      <c r="D7" s="29"/>
      <c r="E7" s="29"/>
      <c r="F7" s="29"/>
      <c r="G7" s="29"/>
      <c r="H7" s="29"/>
      <c r="I7" s="29"/>
    </row>
    <row r="8" spans="1:9" ht="75.75" customHeight="1">
      <c r="A8" s="30" t="s">
        <v>248</v>
      </c>
      <c r="B8" s="30" t="s">
        <v>443</v>
      </c>
      <c r="C8" s="30" t="s">
        <v>444</v>
      </c>
      <c r="D8" s="30" t="s">
        <v>445</v>
      </c>
      <c r="E8" s="30" t="s">
        <v>446</v>
      </c>
      <c r="F8" s="30" t="s">
        <v>447</v>
      </c>
      <c r="G8" s="30" t="s">
        <v>448</v>
      </c>
      <c r="H8" s="30" t="s">
        <v>449</v>
      </c>
      <c r="I8" s="30" t="s">
        <v>450</v>
      </c>
    </row>
    <row r="9" spans="1:9" ht="47.4" customHeight="1">
      <c r="A9" s="32">
        <v>1</v>
      </c>
      <c r="B9" s="33" t="s">
        <v>451</v>
      </c>
      <c r="C9" s="40">
        <v>2</v>
      </c>
      <c r="D9" s="40"/>
      <c r="E9" s="40"/>
      <c r="F9" s="41" t="str">
        <f t="shared" ref="F9:F15" si="0">IF(OR(C9="",E9=""),"",E9-C9)</f>
        <v/>
      </c>
      <c r="G9" s="32" t="str">
        <f t="shared" ref="G9:G15" si="1">IF(OR(C9="",E9=""),"",IF(E9-C9&gt;=0,"Đạt / 合格","Chưa đạt / 不合格"))</f>
        <v/>
      </c>
      <c r="H9" s="39"/>
      <c r="I9" s="42"/>
    </row>
    <row r="10" spans="1:9" ht="51" customHeight="1">
      <c r="A10" s="32">
        <v>2</v>
      </c>
      <c r="B10" s="33" t="s">
        <v>452</v>
      </c>
      <c r="C10" s="40">
        <v>2</v>
      </c>
      <c r="D10" s="40"/>
      <c r="E10" s="40"/>
      <c r="F10" s="41" t="str">
        <f t="shared" si="0"/>
        <v/>
      </c>
      <c r="G10" s="32" t="str">
        <f t="shared" si="1"/>
        <v/>
      </c>
      <c r="H10" s="39"/>
      <c r="I10" s="42"/>
    </row>
    <row r="11" spans="1:9" ht="39.75" customHeight="1">
      <c r="A11" s="32">
        <v>3</v>
      </c>
      <c r="B11" s="33" t="s">
        <v>453</v>
      </c>
      <c r="C11" s="40">
        <v>3</v>
      </c>
      <c r="D11" s="40"/>
      <c r="E11" s="40"/>
      <c r="F11" s="41" t="str">
        <f t="shared" si="0"/>
        <v/>
      </c>
      <c r="G11" s="32" t="str">
        <f t="shared" si="1"/>
        <v/>
      </c>
      <c r="H11" s="39"/>
      <c r="I11" s="42"/>
    </row>
    <row r="12" spans="1:9" ht="39.75" customHeight="1">
      <c r="A12" s="32">
        <v>4</v>
      </c>
      <c r="B12" s="33" t="s">
        <v>454</v>
      </c>
      <c r="C12" s="40">
        <v>3</v>
      </c>
      <c r="D12" s="40"/>
      <c r="E12" s="40"/>
      <c r="F12" s="41" t="str">
        <f t="shared" si="0"/>
        <v/>
      </c>
      <c r="G12" s="32" t="str">
        <f t="shared" si="1"/>
        <v/>
      </c>
      <c r="H12" s="39"/>
      <c r="I12" s="42"/>
    </row>
    <row r="13" spans="1:9" ht="39.75" customHeight="1">
      <c r="A13" s="32">
        <v>5</v>
      </c>
      <c r="B13" s="33" t="s">
        <v>455</v>
      </c>
      <c r="C13" s="40">
        <v>2</v>
      </c>
      <c r="D13" s="40"/>
      <c r="E13" s="40"/>
      <c r="F13" s="41" t="str">
        <f t="shared" si="0"/>
        <v/>
      </c>
      <c r="G13" s="32" t="str">
        <f t="shared" si="1"/>
        <v/>
      </c>
      <c r="H13" s="39"/>
      <c r="I13" s="42"/>
    </row>
    <row r="14" spans="1:9" ht="39.75" customHeight="1">
      <c r="A14" s="32">
        <v>6</v>
      </c>
      <c r="B14" s="33" t="s">
        <v>456</v>
      </c>
      <c r="C14" s="40">
        <v>4</v>
      </c>
      <c r="D14" s="40"/>
      <c r="E14" s="40"/>
      <c r="F14" s="41" t="str">
        <f t="shared" si="0"/>
        <v/>
      </c>
      <c r="G14" s="32" t="str">
        <f t="shared" si="1"/>
        <v/>
      </c>
      <c r="H14" s="39"/>
      <c r="I14" s="42"/>
    </row>
    <row r="15" spans="1:9" ht="39.75" customHeight="1">
      <c r="A15" s="32">
        <v>7</v>
      </c>
      <c r="B15" s="33" t="s">
        <v>457</v>
      </c>
      <c r="C15" s="40">
        <v>2</v>
      </c>
      <c r="D15" s="40"/>
      <c r="E15" s="40"/>
      <c r="F15" s="41" t="str">
        <f t="shared" si="0"/>
        <v/>
      </c>
      <c r="G15" s="32" t="str">
        <f t="shared" si="1"/>
        <v/>
      </c>
      <c r="H15" s="39"/>
      <c r="I15" s="42"/>
    </row>
    <row r="16" spans="1:9" ht="21.75" customHeight="1">
      <c r="A16" s="375" t="s">
        <v>458</v>
      </c>
      <c r="B16" s="375"/>
      <c r="C16" s="375"/>
      <c r="D16" s="375"/>
      <c r="E16" s="375"/>
      <c r="F16" s="377" t="str">
        <f>IF(COUNT(E9:E15)=0,"",ROUND(AVERAGE(E9:E15),2))</f>
        <v/>
      </c>
      <c r="G16" s="377"/>
      <c r="H16" s="29"/>
      <c r="I16" s="29"/>
    </row>
    <row r="17" spans="1:9" ht="21.75" customHeight="1">
      <c r="A17" s="375" t="s">
        <v>459</v>
      </c>
      <c r="B17" s="375"/>
      <c r="C17" s="375"/>
      <c r="D17" s="375"/>
      <c r="E17" s="375"/>
      <c r="F17" s="378">
        <f>COUNTIF(G9:G15,"Đạt / 合格")</f>
        <v>0</v>
      </c>
      <c r="G17" s="378"/>
      <c r="H17" s="29"/>
      <c r="I17" s="29"/>
    </row>
    <row r="18" spans="1:9" ht="21.75" customHeight="1">
      <c r="A18" s="375" t="s">
        <v>460</v>
      </c>
      <c r="B18" s="375"/>
      <c r="C18" s="375"/>
      <c r="D18" s="375"/>
      <c r="E18" s="375"/>
      <c r="F18" s="378">
        <f>COUNTIF(G9:G15,"Chưa đạt / 不合格")</f>
        <v>0</v>
      </c>
      <c r="G18" s="378"/>
      <c r="H18" s="29"/>
      <c r="I18" s="29"/>
    </row>
    <row r="19" spans="1:9" ht="15.6">
      <c r="A19" s="29"/>
      <c r="B19" s="29"/>
      <c r="C19" s="29"/>
      <c r="D19" s="29"/>
      <c r="E19" s="29"/>
      <c r="F19" s="29"/>
      <c r="G19" s="29"/>
      <c r="H19" s="29"/>
      <c r="I19" s="29"/>
    </row>
    <row r="20" spans="1:9" ht="15.6">
      <c r="A20" s="374" t="s">
        <v>461</v>
      </c>
      <c r="B20" s="374"/>
      <c r="C20" s="374"/>
      <c r="D20" s="374"/>
      <c r="E20" s="374"/>
      <c r="F20" s="374"/>
      <c r="G20" s="374"/>
      <c r="H20" s="374"/>
      <c r="I20" s="374"/>
    </row>
    <row r="21" spans="1:9" ht="60" customHeight="1">
      <c r="A21" s="379"/>
      <c r="B21" s="379"/>
      <c r="C21" s="379"/>
      <c r="D21" s="379"/>
      <c r="E21" s="379"/>
      <c r="F21" s="379"/>
      <c r="G21" s="379"/>
      <c r="H21" s="379"/>
      <c r="I21" s="379"/>
    </row>
    <row r="22" spans="1:9" ht="15.6">
      <c r="A22" s="29"/>
      <c r="B22" s="29"/>
      <c r="C22" s="29"/>
      <c r="D22" s="29"/>
      <c r="E22" s="29"/>
      <c r="F22" s="29"/>
      <c r="G22" s="29"/>
      <c r="H22" s="29"/>
      <c r="I22" s="29"/>
    </row>
    <row r="23" spans="1:9" ht="36" customHeight="1">
      <c r="A23" s="29"/>
      <c r="B23" s="29"/>
      <c r="C23" s="380" t="s">
        <v>462</v>
      </c>
      <c r="D23" s="380"/>
      <c r="E23" s="380"/>
      <c r="F23" s="380" t="s">
        <v>463</v>
      </c>
      <c r="G23" s="380"/>
      <c r="H23" s="37" t="s">
        <v>433</v>
      </c>
      <c r="I23" s="29"/>
    </row>
    <row r="24" spans="1:9" ht="54.75" customHeight="1">
      <c r="A24" s="29"/>
      <c r="B24" s="29"/>
      <c r="C24" s="381"/>
      <c r="D24" s="381"/>
      <c r="E24" s="381"/>
      <c r="F24" s="381"/>
      <c r="G24" s="381"/>
      <c r="H24" s="38"/>
      <c r="I24" s="29"/>
    </row>
    <row r="25" spans="1:9" ht="15.6">
      <c r="A25" s="29"/>
      <c r="B25" s="29"/>
      <c r="C25" s="29"/>
      <c r="D25" s="29"/>
      <c r="E25" s="29"/>
      <c r="F25" s="29"/>
      <c r="G25" s="29"/>
      <c r="H25" s="29"/>
      <c r="I25" s="29"/>
    </row>
    <row r="26" spans="1:9" ht="15.6">
      <c r="A26" s="374" t="s">
        <v>464</v>
      </c>
      <c r="B26" s="374"/>
      <c r="C26" s="374"/>
      <c r="D26" s="374"/>
      <c r="E26" s="374"/>
      <c r="F26" s="374"/>
      <c r="G26" s="374"/>
      <c r="H26" s="374"/>
      <c r="I26" s="374"/>
    </row>
    <row r="27" spans="1:9" ht="15.6">
      <c r="A27" s="29"/>
      <c r="B27" s="29" t="s">
        <v>465</v>
      </c>
      <c r="C27" s="29"/>
      <c r="D27" s="29"/>
      <c r="E27" s="29"/>
      <c r="F27" s="29"/>
      <c r="G27" s="29"/>
      <c r="H27" s="29"/>
      <c r="I27" s="29"/>
    </row>
    <row r="28" spans="1:9" ht="15.6">
      <c r="A28" s="29"/>
      <c r="B28" s="29" t="s">
        <v>466</v>
      </c>
      <c r="C28" s="29"/>
      <c r="D28" s="29"/>
      <c r="E28" s="29"/>
      <c r="F28" s="29"/>
      <c r="G28" s="29"/>
      <c r="H28" s="29"/>
      <c r="I28" s="29"/>
    </row>
    <row r="29" spans="1:9" ht="15.6">
      <c r="A29" s="29"/>
      <c r="B29" s="29" t="s">
        <v>467</v>
      </c>
      <c r="C29" s="29"/>
      <c r="D29" s="29"/>
      <c r="E29" s="29"/>
      <c r="F29" s="29"/>
      <c r="G29" s="29"/>
      <c r="H29" s="29"/>
      <c r="I29" s="29"/>
    </row>
    <row r="30" spans="1:9" ht="15.6">
      <c r="A30" s="29"/>
      <c r="B30" s="29" t="s">
        <v>468</v>
      </c>
      <c r="C30" s="29"/>
      <c r="D30" s="29"/>
      <c r="E30" s="29"/>
      <c r="F30" s="29"/>
      <c r="G30" s="29"/>
      <c r="H30" s="29"/>
      <c r="I30" s="29"/>
    </row>
    <row r="31" spans="1:9" ht="15.6">
      <c r="A31" s="29"/>
      <c r="B31" s="29"/>
      <c r="C31" s="29"/>
      <c r="D31" s="29"/>
      <c r="E31" s="29"/>
      <c r="F31" s="29"/>
      <c r="G31" s="29"/>
      <c r="H31" s="29"/>
      <c r="I31" s="29"/>
    </row>
    <row r="32" spans="1:9" ht="15.6">
      <c r="A32" s="374" t="s">
        <v>469</v>
      </c>
      <c r="B32" s="374"/>
      <c r="C32" s="374"/>
      <c r="D32" s="374"/>
      <c r="E32" s="374"/>
      <c r="F32" s="374"/>
      <c r="G32" s="374"/>
      <c r="H32" s="374"/>
      <c r="I32" s="374"/>
    </row>
    <row r="33" spans="1:9" ht="19.5" customHeight="1">
      <c r="A33" s="373" t="s">
        <v>470</v>
      </c>
      <c r="B33" s="373"/>
      <c r="C33" s="373"/>
      <c r="D33" s="373"/>
      <c r="E33" s="373"/>
      <c r="F33" s="373"/>
      <c r="G33" s="373"/>
      <c r="H33" s="373"/>
      <c r="I33" s="373"/>
    </row>
    <row r="34" spans="1:9" ht="19.5" customHeight="1">
      <c r="A34" s="382" t="s">
        <v>471</v>
      </c>
      <c r="B34" s="382"/>
      <c r="C34" s="382"/>
      <c r="D34" s="382"/>
      <c r="E34" s="382"/>
      <c r="F34" s="382"/>
      <c r="G34" s="382"/>
      <c r="H34" s="382"/>
      <c r="I34" s="382"/>
    </row>
    <row r="35" spans="1:9" ht="19.5" customHeight="1">
      <c r="A35" s="373" t="s">
        <v>472</v>
      </c>
      <c r="B35" s="373"/>
      <c r="C35" s="373"/>
      <c r="D35" s="373"/>
      <c r="E35" s="373"/>
      <c r="F35" s="373"/>
      <c r="G35" s="373"/>
      <c r="H35" s="373"/>
      <c r="I35" s="373"/>
    </row>
    <row r="36" spans="1:9" ht="19.5" customHeight="1">
      <c r="A36" s="382" t="s">
        <v>473</v>
      </c>
      <c r="B36" s="382"/>
      <c r="C36" s="382"/>
      <c r="D36" s="382"/>
      <c r="E36" s="382"/>
      <c r="F36" s="382"/>
      <c r="G36" s="382"/>
      <c r="H36" s="382"/>
      <c r="I36" s="382"/>
    </row>
    <row r="37" spans="1:9" ht="19.5" customHeight="1">
      <c r="A37" s="373" t="s">
        <v>474</v>
      </c>
      <c r="B37" s="373"/>
      <c r="C37" s="373"/>
      <c r="D37" s="373"/>
      <c r="E37" s="373"/>
      <c r="F37" s="373"/>
      <c r="G37" s="373"/>
      <c r="H37" s="373"/>
      <c r="I37" s="373"/>
    </row>
    <row r="38" spans="1:9" ht="19.5" customHeight="1">
      <c r="A38" s="382" t="s">
        <v>475</v>
      </c>
      <c r="B38" s="382"/>
      <c r="C38" s="382"/>
      <c r="D38" s="382"/>
      <c r="E38" s="382"/>
      <c r="F38" s="382"/>
      <c r="G38" s="382"/>
      <c r="H38" s="382"/>
      <c r="I38" s="382"/>
    </row>
    <row r="39" spans="1:9" ht="19.5" customHeight="1">
      <c r="A39" s="373" t="s">
        <v>476</v>
      </c>
      <c r="B39" s="373"/>
      <c r="C39" s="373"/>
      <c r="D39" s="373"/>
      <c r="E39" s="373"/>
      <c r="F39" s="373"/>
      <c r="G39" s="373"/>
      <c r="H39" s="373"/>
      <c r="I39" s="373"/>
    </row>
    <row r="40" spans="1:9" ht="19.5" customHeight="1">
      <c r="A40" s="382" t="s">
        <v>477</v>
      </c>
      <c r="B40" s="382"/>
      <c r="C40" s="382"/>
      <c r="D40" s="382"/>
      <c r="E40" s="382"/>
      <c r="F40" s="382"/>
      <c r="G40" s="382"/>
      <c r="H40" s="382"/>
      <c r="I40" s="382"/>
    </row>
  </sheetData>
  <mergeCells count="36">
    <mergeCell ref="A37:I37"/>
    <mergeCell ref="A38:I38"/>
    <mergeCell ref="A39:I39"/>
    <mergeCell ref="A40:I40"/>
    <mergeCell ref="A26:I26"/>
    <mergeCell ref="A32:I32"/>
    <mergeCell ref="A33:I33"/>
    <mergeCell ref="A34:I34"/>
    <mergeCell ref="A35:I35"/>
    <mergeCell ref="A36:I36"/>
    <mergeCell ref="A20:I20"/>
    <mergeCell ref="A21:I21"/>
    <mergeCell ref="C23:E23"/>
    <mergeCell ref="F23:G23"/>
    <mergeCell ref="C24:E24"/>
    <mergeCell ref="F24:G24"/>
    <mergeCell ref="A16:E16"/>
    <mergeCell ref="F16:G16"/>
    <mergeCell ref="A17:E17"/>
    <mergeCell ref="F17:G17"/>
    <mergeCell ref="A18:E18"/>
    <mergeCell ref="F18:G18"/>
    <mergeCell ref="A5:B5"/>
    <mergeCell ref="C5:E5"/>
    <mergeCell ref="F5:G5"/>
    <mergeCell ref="H5:I5"/>
    <mergeCell ref="A6:B6"/>
    <mergeCell ref="C6:E6"/>
    <mergeCell ref="F6:G6"/>
    <mergeCell ref="H6:I6"/>
    <mergeCell ref="A1:I1"/>
    <mergeCell ref="A2:I2"/>
    <mergeCell ref="A4:B4"/>
    <mergeCell ref="C4:E4"/>
    <mergeCell ref="F4:G4"/>
    <mergeCell ref="H4:I4"/>
  </mergeCells>
  <dataValidations count="1">
    <dataValidation type="whole" allowBlank="1" showErrorMessage="1" errorTitle="Giá trị không hợp lệ / 入力エラー" error="Nhập số nguyên từ 1 đến 4 / 1～4の整数を入力してください" sqref="C9:E15" xr:uid="{369B07F8-76FB-4E04-BD58-9EFA9A673257}">
      <formula1>1</formula1>
      <formula2>4</formula2>
    </dataValidation>
  </dataValidations>
  <printOptions horizontalCentered="1"/>
  <pageMargins left="0.4" right="0.4" top="0.5" bottom="0.5" header="0.511811023622047" footer="0.511811023622047"/>
  <pageSetup paperSize="9" scale="65" orientation="landscape" horizontalDpi="300" verticalDpi="300"/>
  <rowBreaks count="1" manualBreakCount="1">
    <brk id="2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00_Muc_luc</vt:lpstr>
      <vt:lpstr>01_Danh_sach_NCC</vt:lpstr>
      <vt:lpstr>02_Danh_gia_NCC_moi</vt:lpstr>
      <vt:lpstr>03_Checksheet_CBSX</vt:lpstr>
      <vt:lpstr>04_So_theo_doi_van_de</vt:lpstr>
      <vt:lpstr>05_Danh_gia_dinh_ky</vt:lpstr>
      <vt:lpstr>05.01様式3-10-2 (JP VN)</vt:lpstr>
      <vt:lpstr>06_Ke_hoach_dao_tao</vt:lpstr>
      <vt:lpstr>06_01.Yêu cầu năng lực_スキル要件</vt:lpstr>
      <vt:lpstr>06_02.Phiếu đánh giá_評価シート</vt:lpstr>
      <vt:lpstr>'05.01様式3-10-2 (JP VN)'!Print_Titles</vt:lpstr>
      <vt:lpstr>'06_01.Yêu cầu năng lực_スキル要件'!Print_Titles</vt:lpstr>
      <vt:lpstr>'06_Ke_hoach_dao_tao'!Print_Titles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Thị  Phượng</cp:lastModifiedBy>
  <cp:revision>0</cp:revision>
  <cp:lastPrinted>2026-09-25T10:05:58Z</cp:lastPrinted>
  <dcterms:created xsi:type="dcterms:W3CDTF">2026-09-17T23:15:16Z</dcterms:created>
  <dcterms:modified xsi:type="dcterms:W3CDTF">2026-09-26T04:35:54Z</dcterms:modified>
  <dc:language>en-US</dc:language>
</cp:coreProperties>
</file>